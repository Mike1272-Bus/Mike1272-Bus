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  <sheet name="Résumé" sheetId="2" state="visible" r:id="rId2"/>
    <sheet name="Message et offres" sheetId="3" state="visible" r:id="rId3"/>
  </sheets>
  <definedNames>
    <definedName name="_xlnm._FilterDatabase" localSheetId="0" hidden="1">'Prospects'!$A$1:$N$41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1A73E8"/>
      <u val="single"/>
    </font>
    <font>
      <b val="1"/>
      <color rgb="001B1F5E"/>
      <sz val="14"/>
    </font>
    <font>
      <b val="1"/>
    </font>
    <font>
      <b val="1"/>
      <color rgb="001B1F5E"/>
      <sz val="13"/>
    </font>
    <font>
      <i val="1"/>
    </font>
  </fonts>
  <fills count="4">
    <fill>
      <patternFill/>
    </fill>
    <fill>
      <patternFill patternType="gray125"/>
    </fill>
    <fill>
      <patternFill patternType="solid">
        <fgColor rgb="001B1F5E"/>
      </patternFill>
    </fill>
    <fill>
      <patternFill patternType="solid">
        <fgColor rgb="00F2F4F8"/>
      </patternFill>
    </fill>
  </fills>
  <borders count="2">
    <border>
      <left/>
      <right/>
      <top/>
      <bottom/>
      <diagonal/>
    </border>
    <border>
      <left style="thin">
        <color rgb="00D6DBE6"/>
      </left>
      <right style="thin">
        <color rgb="00D6DBE6"/>
      </right>
      <top style="thin">
        <color rgb="00D6DBE6"/>
      </top>
      <bottom style="thin">
        <color rgb="00D6DB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F2B3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abben.odoo.com/contact-pharmacie-du-graben" TargetMode="External" Id="rId1" /><Relationship Type="http://schemas.openxmlformats.org/officeDocument/2006/relationships/hyperlink" Target="https://www.moncongo.com/pharmacie-espoir-faustin" TargetMode="External" Id="rId2" /><Relationship Type="http://schemas.openxmlformats.org/officeDocument/2006/relationships/hyperlink" Target="https://www.moncongo.com/sant%C3%A9-services/pharmacies" TargetMode="External" Id="rId3" /><Relationship Type="http://schemas.openxmlformats.org/officeDocument/2006/relationships/hyperlink" Target="https://visit-kinshasa.com/pharmacie-de-lindependance-votre-pharmacie-de-reference-a-kinshasa/" TargetMode="External" Id="rId4" /><Relationship Type="http://schemas.openxmlformats.org/officeDocument/2006/relationships/hyperlink" Target="https://www.instagram.com/le_gateau_kinshasa/" TargetMode="External" Id="rId5" /><Relationship Type="http://schemas.openxmlformats.org/officeDocument/2006/relationships/hyperlink" Target="https://www.instagram.com/patisseriemerveilles/" TargetMode="External" Id="rId6" /><Relationship Type="http://schemas.openxmlformats.org/officeDocument/2006/relationships/hyperlink" Target="https://www.moncongo.com/la-patisserie-nouvelle" TargetMode="External" Id="rId7" /><Relationship Type="http://schemas.openxmlformats.org/officeDocument/2006/relationships/hyperlink" Target="https://www.xtrafrica.com/news/top-5-french-pastry-shops-kinshasa-2025" TargetMode="External" Id="rId8" /><Relationship Type="http://schemas.openxmlformats.org/officeDocument/2006/relationships/hyperlink" Target="https://visit-kinshasa.com/decouvrez-la-magie-deric-kayser-bakery-a-kinshasa/" TargetMode="External" Id="rId9" /><Relationship Type="http://schemas.openxmlformats.org/officeDocument/2006/relationships/hyperlink" Target="https://www.facebook.com/CosmosBtq/" TargetMode="External" Id="rId10" /><Relationship Type="http://schemas.openxmlformats.org/officeDocument/2006/relationships/hyperlink" Target="https://www.instagram.com/kinshasacosmetiques/" TargetMode="External" Id="rId11" /><Relationship Type="http://schemas.openxmlformats.org/officeDocument/2006/relationships/hyperlink" Target="https://elmocosmetics.com/" TargetMode="External" Id="rId12" /><Relationship Type="http://schemas.openxmlformats.org/officeDocument/2006/relationships/hyperlink" Target="https://biodekin.com/" TargetMode="External" Id="rId13" /><Relationship Type="http://schemas.openxmlformats.org/officeDocument/2006/relationships/hyperlink" Target="https://kyraafrique.com" TargetMode="External" Id="rId14" /><Relationship Type="http://schemas.openxmlformats.org/officeDocument/2006/relationships/hyperlink" Target="https://www.tiktok.com/@elyon_mubande/video/7536206713377115448" TargetMode="External" Id="rId15" /><Relationship Type="http://schemas.openxmlformats.org/officeDocument/2006/relationships/hyperlink" Target="https://perlunastore.com/" TargetMode="External" Id="rId16" /><Relationship Type="http://schemas.openxmlformats.org/officeDocument/2006/relationships/hyperlink" Target="https://www.instagram.com/kin_vente/" TargetMode="External" Id="rId17" /><Relationship Type="http://schemas.openxmlformats.org/officeDocument/2006/relationships/hyperlink" Target="https://www.petitfute.co.uk/v46937-kinshasa/c1165-restaurants/c126-restauration-rapide-a-domicile/c135-sur-place-a-emporter/c138-fast-food/" TargetMode="External" Id="rId18" /><Relationship Type="http://schemas.openxmlformats.org/officeDocument/2006/relationships/hyperlink" Target="https://www.facebook.com/royalburgerkin/" TargetMode="External" Id="rId19" /><Relationship Type="http://schemas.openxmlformats.org/officeDocument/2006/relationships/hyperlink" Target="https://www.petitfute.co.uk/v46937-kinshasa/c1165-restaurants/c126-restauration-rapide-a-domicile/c135-sur-place-a-emporter/c138-fast-food/" TargetMode="External" Id="rId20" /><Relationship Type="http://schemas.openxmlformats.org/officeDocument/2006/relationships/hyperlink" Target="https://www.instagram.com/_clean.r_/" TargetMode="External" Id="rId21" /><Relationship Type="http://schemas.openxmlformats.org/officeDocument/2006/relationships/hyperlink" Target="https://kinshasamaps.com/listing/salon-de-coiffure-new-class/" TargetMode="External" Id="rId22" /><Relationship Type="http://schemas.openxmlformats.org/officeDocument/2006/relationships/hyperlink" Target="https://salonchouchou.com/" TargetMode="External" Id="rId23" /><Relationship Type="http://schemas.openxmlformats.org/officeDocument/2006/relationships/hyperlink" Target="https://www.instagram.com/kalicehair_/" TargetMode="External" Id="rId24" /><Relationship Type="http://schemas.openxmlformats.org/officeDocument/2006/relationships/hyperlink" Target="https://www.spa-davidsawah.com/" TargetMode="External" Id="rId25" /><Relationship Type="http://schemas.openxmlformats.org/officeDocument/2006/relationships/hyperlink" Target="https://www.facebook.com/Kindistributionphone/" TargetMode="External" Id="rId26" /><Relationship Type="http://schemas.openxmlformats.org/officeDocument/2006/relationships/hyperlink" Target="https://mobile-rdc.com/" TargetMode="External" Id="rId27" /><Relationship Type="http://schemas.openxmlformats.org/officeDocument/2006/relationships/hyperlink" Target="https://arcoshopping.com/" TargetMode="External" Id="rId28" /><Relationship Type="http://schemas.openxmlformats.org/officeDocument/2006/relationships/hyperlink" Target="https://congo-shop.com/" TargetMode="External" Id="rId29" /><Relationship Type="http://schemas.openxmlformats.org/officeDocument/2006/relationships/hyperlink" Target="https://easy-tobuy.com" TargetMode="External" Id="rId30" /><Relationship Type="http://schemas.openxmlformats.org/officeDocument/2006/relationships/hyperlink" Target="https://kinbrique.com/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38" customWidth="1" min="3" max="3"/>
    <col width="26" customWidth="1" min="4" max="4"/>
    <col width="34" customWidth="1" min="5" max="5"/>
    <col width="22" customWidth="1" min="6" max="6"/>
    <col width="34" customWidth="1" min="7" max="7"/>
    <col width="14" customWidth="1" min="8" max="8"/>
    <col width="15" customWidth="1" min="9" max="9"/>
    <col width="30" customWidth="1" min="10" max="10"/>
    <col width="13" customWidth="1" min="11" max="11"/>
    <col width="13" customWidth="1" min="12" max="12"/>
    <col width="16" customWidth="1" min="13" max="13"/>
    <col width="30" customWidth="1" min="14" max="14"/>
  </cols>
  <sheetData>
    <row r="1" ht="32" customHeight="1">
      <c r="A1" s="1" t="inlineStr">
        <is>
          <t>#</t>
        </is>
      </c>
      <c r="B1" s="1" t="inlineStr">
        <is>
          <t>Catégorie</t>
        </is>
      </c>
      <c r="C1" s="1" t="inlineStr">
        <is>
          <t>Entreprise</t>
        </is>
      </c>
      <c r="D1" s="1" t="inlineStr">
        <is>
          <t>Contact public</t>
        </is>
      </c>
      <c r="E1" s="1" t="inlineStr">
        <is>
          <t>Offre conseillée</t>
        </is>
      </c>
      <c r="F1" s="1" t="inlineStr">
        <is>
          <t>Source</t>
        </is>
      </c>
      <c r="G1" s="1" t="inlineStr">
        <is>
          <t>Lien source</t>
        </is>
      </c>
      <c r="H1" s="1" t="inlineStr">
        <is>
          <t>Numéro vérifié</t>
        </is>
      </c>
      <c r="I1" s="1" t="inlineStr">
        <is>
          <t>Date 1er message</t>
        </is>
      </c>
      <c r="J1" s="1" t="inlineStr">
        <is>
          <t>Réponse reçue</t>
        </is>
      </c>
      <c r="K1" s="1" t="inlineStr">
        <is>
          <t>Relance 1</t>
        </is>
      </c>
      <c r="L1" s="1" t="inlineStr">
        <is>
          <t>Relance 2</t>
        </is>
      </c>
      <c r="M1" s="1" t="inlineStr">
        <is>
          <t>Statut</t>
        </is>
      </c>
      <c r="N1" s="1" t="inlineStr">
        <is>
          <t>Notes</t>
        </is>
      </c>
    </row>
    <row r="2">
      <c r="A2" s="2" t="n">
        <v>1</v>
      </c>
      <c r="B2" s="2" t="inlineStr">
        <is>
          <t>Pharmacies</t>
        </is>
      </c>
      <c r="C2" s="2" t="inlineStr">
        <is>
          <t>Pharmacie du Graben (Ngaliema, livraison dans tout Kinshasa)</t>
        </is>
      </c>
      <c r="D2" s="2" t="inlineStr">
        <is>
          <t>WhatsApp +243 857 777 019</t>
        </is>
      </c>
      <c r="E2" s="2" t="inlineStr">
        <is>
          <t>Gestion de stock + catalogue WhatsApp</t>
        </is>
      </c>
      <c r="F2" s="2" t="inlineStr">
        <is>
          <t>grabben.odoo.com</t>
        </is>
      </c>
      <c r="G2" s="3" t="inlineStr">
        <is>
          <t>https://grabben.odoo.com/contact-pharmacie-du-graben</t>
        </is>
      </c>
      <c r="H2" s="2" t="inlineStr">
        <is>
          <t>Non</t>
        </is>
      </c>
      <c r="I2" s="4" t="n"/>
      <c r="J2" s="2" t="inlineStr"/>
      <c r="K2" s="4" t="n"/>
      <c r="L2" s="4" t="n"/>
      <c r="M2" s="2" t="inlineStr">
        <is>
          <t>À contacter</t>
        </is>
      </c>
      <c r="N2" s="2" t="inlineStr"/>
    </row>
    <row r="3">
      <c r="A3" s="5" t="n">
        <v>2</v>
      </c>
      <c r="B3" s="5" t="inlineStr">
        <is>
          <t>Pharmacies</t>
        </is>
      </c>
      <c r="C3" s="5" t="inlineStr">
        <is>
          <t>Pharmacie Espoir Faustin (Gombe, bd du 30 Juin)</t>
        </is>
      </c>
      <c r="D3" s="5" t="inlineStr">
        <is>
          <t>+243 900 764 338</t>
        </is>
      </c>
      <c r="E3" s="5" t="inlineStr">
        <is>
          <t>Gestion de stock + catalogue</t>
        </is>
      </c>
      <c r="F3" s="5" t="inlineStr">
        <is>
          <t>moncongo.com</t>
        </is>
      </c>
      <c r="G3" s="6" t="inlineStr">
        <is>
          <t>https://www.moncongo.com/pharmacie-espoir-faustin</t>
        </is>
      </c>
      <c r="H3" s="5" t="inlineStr">
        <is>
          <t>Non</t>
        </is>
      </c>
      <c r="I3" s="7" t="n"/>
      <c r="J3" s="5" t="inlineStr"/>
      <c r="K3" s="7" t="n"/>
      <c r="L3" s="7" t="n"/>
      <c r="M3" s="5" t="inlineStr">
        <is>
          <t>À contacter</t>
        </is>
      </c>
      <c r="N3" s="5" t="inlineStr"/>
    </row>
    <row r="4">
      <c r="A4" s="2" t="n">
        <v>3</v>
      </c>
      <c r="B4" s="2" t="inlineStr">
        <is>
          <t>Pharmacies</t>
        </is>
      </c>
      <c r="C4" s="2" t="inlineStr">
        <is>
          <t>Apotheek Pharmabel (Galerie du Centenaire, Gombe)</t>
        </is>
      </c>
      <c r="D4" s="2" t="inlineStr">
        <is>
          <t>+243 998 222 221</t>
        </is>
      </c>
      <c r="E4" s="2" t="inlineStr">
        <is>
          <t>Gestion de stock</t>
        </is>
      </c>
      <c r="F4" s="2" t="inlineStr">
        <is>
          <t>moncongo.com</t>
        </is>
      </c>
      <c r="G4" s="3" t="inlineStr">
        <is>
          <t>https://www.moncongo.com/sant%C3%A9-services/pharmacies</t>
        </is>
      </c>
      <c r="H4" s="2" t="inlineStr">
        <is>
          <t>Non</t>
        </is>
      </c>
      <c r="I4" s="4" t="n"/>
      <c r="J4" s="2" t="inlineStr"/>
      <c r="K4" s="4" t="n"/>
      <c r="L4" s="4" t="n"/>
      <c r="M4" s="2" t="inlineStr">
        <is>
          <t>À contacter</t>
        </is>
      </c>
      <c r="N4" s="2" t="inlineStr"/>
    </row>
    <row r="5">
      <c r="A5" s="5" t="n">
        <v>4</v>
      </c>
      <c r="B5" s="5" t="inlineStr">
        <is>
          <t>Pharmacies</t>
        </is>
      </c>
      <c r="C5" s="5" t="inlineStr">
        <is>
          <t>Pharmacie de l'Indépendance (Gombe)</t>
        </is>
      </c>
      <c r="D5" s="5" t="inlineStr">
        <is>
          <t>À trouver</t>
        </is>
      </c>
      <c r="E5" s="5" t="inlineStr">
        <is>
          <t>Gestion de stock + vidéo</t>
        </is>
      </c>
      <c r="F5" s="5" t="inlineStr">
        <is>
          <t>visit-kinshasa.com</t>
        </is>
      </c>
      <c r="G5" s="6" t="inlineStr">
        <is>
          <t>https://visit-kinshasa.com/pharmacie-de-lindependance-votre-pharmacie-de-reference-a-kinshasa/</t>
        </is>
      </c>
      <c r="H5" s="5" t="inlineStr">
        <is>
          <t>Non</t>
        </is>
      </c>
      <c r="I5" s="7" t="n"/>
      <c r="J5" s="5" t="inlineStr"/>
      <c r="K5" s="7" t="n"/>
      <c r="L5" s="7" t="n"/>
      <c r="M5" s="5" t="inlineStr">
        <is>
          <t>À contacter</t>
        </is>
      </c>
      <c r="N5" s="5" t="inlineStr"/>
    </row>
    <row r="6">
      <c r="A6" s="2" t="n">
        <v>5</v>
      </c>
      <c r="B6" s="2" t="inlineStr">
        <is>
          <t>Pâtisseries</t>
        </is>
      </c>
      <c r="C6" s="2" t="inlineStr">
        <is>
          <t>LeGateau (@le_gateau_kinshasa, commandes 3 jours à l'avance)</t>
        </is>
      </c>
      <c r="D6" s="2" t="inlineStr">
        <is>
          <t>WhatsApp +243 991 687 614</t>
        </is>
      </c>
      <c r="E6" s="2" t="inlineStr">
        <is>
          <t>Vidéo animée + catalogue des gâteaux</t>
        </is>
      </c>
      <c r="F6" s="2" t="inlineStr">
        <is>
          <t>Instagram</t>
        </is>
      </c>
      <c r="G6" s="3" t="inlineStr">
        <is>
          <t>https://www.instagram.com/le_gateau_kinshasa/</t>
        </is>
      </c>
      <c r="H6" s="2" t="inlineStr">
        <is>
          <t>Non</t>
        </is>
      </c>
      <c r="I6" s="4" t="n"/>
      <c r="J6" s="2" t="inlineStr"/>
      <c r="K6" s="4" t="n"/>
      <c r="L6" s="4" t="n"/>
      <c r="M6" s="2" t="inlineStr">
        <is>
          <t>À contacter</t>
        </is>
      </c>
      <c r="N6" s="2" t="inlineStr"/>
    </row>
    <row r="7">
      <c r="A7" s="5" t="n">
        <v>6</v>
      </c>
      <c r="B7" s="5" t="inlineStr">
        <is>
          <t>Pâtisseries</t>
        </is>
      </c>
      <c r="C7" s="5" t="inlineStr">
        <is>
          <t>Pâtisseries Merveilles (@patisseriemerveilles)</t>
        </is>
      </c>
      <c r="D7" s="5" t="inlineStr">
        <is>
          <t>+243 817 555 557</t>
        </is>
      </c>
      <c r="E7" s="5" t="inlineStr">
        <is>
          <t>Vidéo animée</t>
        </is>
      </c>
      <c r="F7" s="5" t="inlineStr">
        <is>
          <t>Instagram</t>
        </is>
      </c>
      <c r="G7" s="6" t="inlineStr">
        <is>
          <t>https://www.instagram.com/patisseriemerveilles/</t>
        </is>
      </c>
      <c r="H7" s="5" t="inlineStr">
        <is>
          <t>Non</t>
        </is>
      </c>
      <c r="I7" s="7" t="n"/>
      <c r="J7" s="5" t="inlineStr"/>
      <c r="K7" s="7" t="n"/>
      <c r="L7" s="7" t="n"/>
      <c r="M7" s="5" t="inlineStr">
        <is>
          <t>À contacter</t>
        </is>
      </c>
      <c r="N7" s="5" t="inlineStr"/>
    </row>
    <row r="8">
      <c r="A8" s="2" t="n">
        <v>7</v>
      </c>
      <c r="B8" s="2" t="inlineStr">
        <is>
          <t>Pâtisseries</t>
        </is>
      </c>
      <c r="C8" s="2" t="inlineStr">
        <is>
          <t>La Pâtisserie Nouvelle</t>
        </is>
      </c>
      <c r="D8" s="2" t="inlineStr">
        <is>
          <t>+243 819 989 000</t>
        </is>
      </c>
      <c r="E8" s="2" t="inlineStr">
        <is>
          <t>Vidéo + catalogue</t>
        </is>
      </c>
      <c r="F8" s="2" t="inlineStr">
        <is>
          <t>moncongo.com</t>
        </is>
      </c>
      <c r="G8" s="3" t="inlineStr">
        <is>
          <t>https://www.moncongo.com/la-patisserie-nouvelle</t>
        </is>
      </c>
      <c r="H8" s="2" t="inlineStr">
        <is>
          <t>Non</t>
        </is>
      </c>
      <c r="I8" s="4" t="n"/>
      <c r="J8" s="2" t="inlineStr"/>
      <c r="K8" s="4" t="n"/>
      <c r="L8" s="4" t="n"/>
      <c r="M8" s="2" t="inlineStr">
        <is>
          <t>À contacter</t>
        </is>
      </c>
      <c r="N8" s="2" t="inlineStr"/>
    </row>
    <row r="9">
      <c r="A9" s="5" t="n">
        <v>8</v>
      </c>
      <c r="B9" s="5" t="inlineStr">
        <is>
          <t>Pâtisseries</t>
        </is>
      </c>
      <c r="C9" s="5" t="inlineStr">
        <is>
          <t>Papparoti</t>
        </is>
      </c>
      <c r="D9" s="5" t="inlineStr">
        <is>
          <t>+243 899 939 121</t>
        </is>
      </c>
      <c r="E9" s="5" t="inlineStr">
        <is>
          <t>Vidéo animée</t>
        </is>
      </c>
      <c r="F9" s="5" t="inlineStr">
        <is>
          <t>xtrafrica.com</t>
        </is>
      </c>
      <c r="G9" s="6" t="inlineStr">
        <is>
          <t>https://www.xtrafrica.com/news/top-5-french-pastry-shops-kinshasa-2025</t>
        </is>
      </c>
      <c r="H9" s="5" t="inlineStr">
        <is>
          <t>Non</t>
        </is>
      </c>
      <c r="I9" s="7" t="n"/>
      <c r="J9" s="5" t="inlineStr"/>
      <c r="K9" s="7" t="n"/>
      <c r="L9" s="7" t="n"/>
      <c r="M9" s="5" t="inlineStr">
        <is>
          <t>À contacter</t>
        </is>
      </c>
      <c r="N9" s="5" t="inlineStr"/>
    </row>
    <row r="10">
      <c r="A10" s="2" t="n">
        <v>9</v>
      </c>
      <c r="B10" s="2" t="inlineStr">
        <is>
          <t>Pâtisseries</t>
        </is>
      </c>
      <c r="C10" s="2" t="inlineStr">
        <is>
          <t>Éric Kayser Kinshasa (franchise : validation possible par la marque)</t>
        </is>
      </c>
      <c r="D10" s="2" t="inlineStr">
        <is>
          <t>+243 819 839 000</t>
        </is>
      </c>
      <c r="E10" s="2" t="inlineStr">
        <is>
          <t>Vidéo animée</t>
        </is>
      </c>
      <c r="F10" s="2" t="inlineStr">
        <is>
          <t>visit-kinshasa.com</t>
        </is>
      </c>
      <c r="G10" s="3" t="inlineStr">
        <is>
          <t>https://visit-kinshasa.com/decouvrez-la-magie-deric-kayser-bakery-a-kinshasa/</t>
        </is>
      </c>
      <c r="H10" s="2" t="inlineStr">
        <is>
          <t>Non</t>
        </is>
      </c>
      <c r="I10" s="4" t="n"/>
      <c r="J10" s="2" t="inlineStr"/>
      <c r="K10" s="4" t="n"/>
      <c r="L10" s="4" t="n"/>
      <c r="M10" s="2" t="inlineStr">
        <is>
          <t>À contacter</t>
        </is>
      </c>
      <c r="N10" s="2" t="inlineStr"/>
    </row>
    <row r="11">
      <c r="A11" s="5" t="n">
        <v>10</v>
      </c>
      <c r="B11" s="5" t="inlineStr">
        <is>
          <t>Cosmétiques et parfumerie</t>
        </is>
      </c>
      <c r="C11" s="5" t="inlineStr">
        <is>
          <t>Cosmos Boutique (gros et détail, livraison RDC)</t>
        </is>
      </c>
      <c r="D11" s="5" t="inlineStr">
        <is>
          <t>WhatsApp +243 835 058 571</t>
        </is>
      </c>
      <c r="E11" s="5" t="inlineStr">
        <is>
          <t>Catalogue + gestion de stock</t>
        </is>
      </c>
      <c r="F11" s="5" t="inlineStr">
        <is>
          <t>Facebook</t>
        </is>
      </c>
      <c r="G11" s="6" t="inlineStr">
        <is>
          <t>https://www.facebook.com/CosmosBtq/</t>
        </is>
      </c>
      <c r="H11" s="5" t="inlineStr">
        <is>
          <t>Non</t>
        </is>
      </c>
      <c r="I11" s="7" t="n"/>
      <c r="J11" s="5" t="inlineStr"/>
      <c r="K11" s="7" t="n"/>
      <c r="L11" s="7" t="n"/>
      <c r="M11" s="5" t="inlineStr">
        <is>
          <t>À contacter</t>
        </is>
      </c>
      <c r="N11" s="5" t="inlineStr"/>
    </row>
    <row r="12">
      <c r="A12" s="2" t="n">
        <v>11</v>
      </c>
      <c r="B12" s="2" t="inlineStr">
        <is>
          <t>Cosmétiques et parfumerie</t>
        </is>
      </c>
      <c r="C12" s="2" t="inlineStr">
        <is>
          <t>Kinshasa Cosmétiques (@kinshasacosmetiques)</t>
        </is>
      </c>
      <c r="D12" s="2" t="inlineStr">
        <is>
          <t>WhatsApp +243 842 777 114</t>
        </is>
      </c>
      <c r="E12" s="2" t="inlineStr">
        <is>
          <t>Catalogue + vidéo</t>
        </is>
      </c>
      <c r="F12" s="2" t="inlineStr">
        <is>
          <t>Instagram</t>
        </is>
      </c>
      <c r="G12" s="3" t="inlineStr">
        <is>
          <t>https://www.instagram.com/kinshasacosmetiques/</t>
        </is>
      </c>
      <c r="H12" s="2" t="inlineStr">
        <is>
          <t>Non</t>
        </is>
      </c>
      <c r="I12" s="4" t="n"/>
      <c r="J12" s="2" t="inlineStr"/>
      <c r="K12" s="4" t="n"/>
      <c r="L12" s="4" t="n"/>
      <c r="M12" s="2" t="inlineStr">
        <is>
          <t>À contacter</t>
        </is>
      </c>
      <c r="N12" s="2" t="inlineStr"/>
    </row>
    <row r="13">
      <c r="A13" s="5" t="n">
        <v>12</v>
      </c>
      <c r="B13" s="5" t="inlineStr">
        <is>
          <t>Cosmétiques et parfumerie</t>
        </is>
      </c>
      <c r="C13" s="5" t="inlineStr">
        <is>
          <t>Elmo Cosmetics (Kasa-Vubu)</t>
        </is>
      </c>
      <c r="D13" s="5" t="inlineStr">
        <is>
          <t>WhatsApp 0892 623 015</t>
        </is>
      </c>
      <c r="E13" s="5" t="inlineStr">
        <is>
          <t>Vidéo + stock</t>
        </is>
      </c>
      <c r="F13" s="5" t="inlineStr">
        <is>
          <t>elmocosmetics.com</t>
        </is>
      </c>
      <c r="G13" s="6" t="inlineStr">
        <is>
          <t>https://elmocosmetics.com/</t>
        </is>
      </c>
      <c r="H13" s="5" t="inlineStr">
        <is>
          <t>Non</t>
        </is>
      </c>
      <c r="I13" s="7" t="n"/>
      <c r="J13" s="5" t="inlineStr"/>
      <c r="K13" s="7" t="n"/>
      <c r="L13" s="7" t="n"/>
      <c r="M13" s="5" t="inlineStr">
        <is>
          <t>À contacter</t>
        </is>
      </c>
      <c r="N13" s="5" t="inlineStr"/>
    </row>
    <row r="14">
      <c r="A14" s="2" t="n">
        <v>13</v>
      </c>
      <c r="B14" s="2" t="inlineStr">
        <is>
          <t>Cosmétiques et parfumerie</t>
        </is>
      </c>
      <c r="C14" s="2" t="inlineStr">
        <is>
          <t>Wenzemart (Kinshasa et Brazzaville)</t>
        </is>
      </c>
      <c r="D14" s="2" t="inlineStr">
        <is>
          <t>WhatsApp +243 903 199 338</t>
        </is>
      </c>
      <c r="E14" s="2" t="inlineStr">
        <is>
          <t>Catalogue + commandes</t>
        </is>
      </c>
      <c r="F14" s="2" t="inlineStr">
        <is>
          <t>Recherche web, à vérifier</t>
        </is>
      </c>
      <c r="G14" s="2" t="inlineStr"/>
      <c r="H14" s="2" t="inlineStr">
        <is>
          <t>Non</t>
        </is>
      </c>
      <c r="I14" s="4" t="n"/>
      <c r="J14" s="2" t="inlineStr"/>
      <c r="K14" s="4" t="n"/>
      <c r="L14" s="4" t="n"/>
      <c r="M14" s="2" t="inlineStr">
        <is>
          <t>À contacter</t>
        </is>
      </c>
      <c r="N14" s="2" t="inlineStr"/>
    </row>
    <row r="15">
      <c r="A15" s="5" t="n">
        <v>14</v>
      </c>
      <c r="B15" s="5" t="inlineStr">
        <is>
          <t>Cosmétiques et parfumerie</t>
        </is>
      </c>
      <c r="C15" s="5" t="inlineStr">
        <is>
          <t>Biodekin (produits bio)</t>
        </is>
      </c>
      <c r="D15" s="5" t="inlineStr">
        <is>
          <t>Site</t>
        </is>
      </c>
      <c r="E15" s="5" t="inlineStr">
        <is>
          <t>Vidéo + mini-site</t>
        </is>
      </c>
      <c r="F15" s="5" t="inlineStr">
        <is>
          <t>biodekin.com</t>
        </is>
      </c>
      <c r="G15" s="6" t="inlineStr">
        <is>
          <t>https://biodekin.com/</t>
        </is>
      </c>
      <c r="H15" s="5" t="inlineStr">
        <is>
          <t>Non</t>
        </is>
      </c>
      <c r="I15" s="7" t="n"/>
      <c r="J15" s="5" t="inlineStr"/>
      <c r="K15" s="7" t="n"/>
      <c r="L15" s="7" t="n"/>
      <c r="M15" s="5" t="inlineStr">
        <is>
          <t>À contacter</t>
        </is>
      </c>
      <c r="N15" s="5" t="inlineStr"/>
    </row>
    <row r="16">
      <c r="A16" s="2" t="n">
        <v>15</v>
      </c>
      <c r="B16" s="2" t="inlineStr">
        <is>
          <t>Cosmétiques et parfumerie</t>
        </is>
      </c>
      <c r="C16" s="2" t="inlineStr">
        <is>
          <t>Kyra Afrique (chaîne de parfumerie, Kinshasa et Brazzaville)</t>
        </is>
      </c>
      <c r="D16" s="2" t="inlineStr">
        <is>
          <t>Site</t>
        </is>
      </c>
      <c r="E16" s="2" t="inlineStr">
        <is>
          <t>Vidéo par point de vente + stock</t>
        </is>
      </c>
      <c r="F16" s="2" t="inlineStr">
        <is>
          <t>kyraafrique.com (Vibe Prospecting)</t>
        </is>
      </c>
      <c r="G16" s="3" t="inlineStr">
        <is>
          <t>https://kyraafrique.com</t>
        </is>
      </c>
      <c r="H16" s="2" t="inlineStr">
        <is>
          <t>Non</t>
        </is>
      </c>
      <c r="I16" s="4" t="n"/>
      <c r="J16" s="2" t="inlineStr"/>
      <c r="K16" s="4" t="n"/>
      <c r="L16" s="4" t="n"/>
      <c r="M16" s="2" t="inlineStr">
        <is>
          <t>À contacter</t>
        </is>
      </c>
      <c r="N16" s="2" t="inlineStr"/>
    </row>
    <row r="17">
      <c r="A17" s="5" t="n">
        <v>16</v>
      </c>
      <c r="B17" s="5" t="inlineStr">
        <is>
          <t>Mode</t>
        </is>
      </c>
      <c r="C17" s="5" t="inlineStr">
        <is>
          <t>DSM Boutique d'Habillement (av. Kabinda)</t>
        </is>
      </c>
      <c r="D17" s="5" t="inlineStr">
        <is>
          <t>WhatsApp +243 970 043 060</t>
        </is>
      </c>
      <c r="E17" s="5" t="inlineStr">
        <is>
          <t>Catalogue + stock</t>
        </is>
      </c>
      <c r="F17" s="5" t="inlineStr">
        <is>
          <t>Recherche web, à vérifier</t>
        </is>
      </c>
      <c r="G17" s="5" t="inlineStr"/>
      <c r="H17" s="5" t="inlineStr">
        <is>
          <t>Non</t>
        </is>
      </c>
      <c r="I17" s="7" t="n"/>
      <c r="J17" s="5" t="inlineStr"/>
      <c r="K17" s="7" t="n"/>
      <c r="L17" s="7" t="n"/>
      <c r="M17" s="5" t="inlineStr">
        <is>
          <t>À contacter</t>
        </is>
      </c>
      <c r="N17" s="5" t="inlineStr"/>
    </row>
    <row r="18">
      <c r="A18" s="2" t="n">
        <v>17</v>
      </c>
      <c r="B18" s="2" t="inlineStr">
        <is>
          <t>Mode</t>
        </is>
      </c>
      <c r="C18" s="2" t="inlineStr">
        <is>
          <t>Chic Boutique de Kin (@chic_boutique_de_kin)</t>
        </is>
      </c>
      <c r="D18" s="2" t="inlineStr">
        <is>
          <t>+243 839 251 748</t>
        </is>
      </c>
      <c r="E18" s="2" t="inlineStr">
        <is>
          <t>Vidéo + catalogue</t>
        </is>
      </c>
      <c r="F18" s="2" t="inlineStr">
        <is>
          <t>TikTok</t>
        </is>
      </c>
      <c r="G18" s="3" t="inlineStr">
        <is>
          <t>https://www.tiktok.com/@elyon_mubande/video/7536206713377115448</t>
        </is>
      </c>
      <c r="H18" s="2" t="inlineStr">
        <is>
          <t>Non</t>
        </is>
      </c>
      <c r="I18" s="4" t="n"/>
      <c r="J18" s="2" t="inlineStr"/>
      <c r="K18" s="4" t="n"/>
      <c r="L18" s="4" t="n"/>
      <c r="M18" s="2" t="inlineStr">
        <is>
          <t>À contacter</t>
        </is>
      </c>
      <c r="N18" s="2" t="inlineStr"/>
    </row>
    <row r="19">
      <c r="A19" s="5" t="n">
        <v>18</v>
      </c>
      <c r="B19" s="5" t="inlineStr">
        <is>
          <t>Mode</t>
        </is>
      </c>
      <c r="C19" s="5" t="inlineStr">
        <is>
          <t>Amichrist.biz (vestes de cérémonie)</t>
        </is>
      </c>
      <c r="D19" s="5" t="inlineStr">
        <is>
          <t>WhatsApp 0998 689 908</t>
        </is>
      </c>
      <c r="E19" s="5" t="inlineStr">
        <is>
          <t>Vidéo + catalogue</t>
        </is>
      </c>
      <c r="F19" s="5" t="inlineStr">
        <is>
          <t>Recherche web, à vérifier</t>
        </is>
      </c>
      <c r="G19" s="5" t="inlineStr"/>
      <c r="H19" s="5" t="inlineStr">
        <is>
          <t>Non</t>
        </is>
      </c>
      <c r="I19" s="7" t="n"/>
      <c r="J19" s="5" t="inlineStr"/>
      <c r="K19" s="7" t="n"/>
      <c r="L19" s="7" t="n"/>
      <c r="M19" s="5" t="inlineStr">
        <is>
          <t>À contacter</t>
        </is>
      </c>
      <c r="N19" s="5" t="inlineStr"/>
    </row>
    <row r="20">
      <c r="A20" s="2" t="n">
        <v>19</v>
      </c>
      <c r="B20" s="2" t="inlineStr">
        <is>
          <t>Mode</t>
        </is>
      </c>
      <c r="C20" s="2" t="inlineStr">
        <is>
          <t>Perluna Store (mode en ligne)</t>
        </is>
      </c>
      <c r="D20" s="2" t="inlineStr">
        <is>
          <t>Bouton WhatsApp sur le site</t>
        </is>
      </c>
      <c r="E20" s="2" t="inlineStr">
        <is>
          <t>Vidéo + stock</t>
        </is>
      </c>
      <c r="F20" s="2" t="inlineStr">
        <is>
          <t>perlunastore.com</t>
        </is>
      </c>
      <c r="G20" s="3" t="inlineStr">
        <is>
          <t>https://perlunastore.com/</t>
        </is>
      </c>
      <c r="H20" s="2" t="inlineStr">
        <is>
          <t>Non</t>
        </is>
      </c>
      <c r="I20" s="4" t="n"/>
      <c r="J20" s="2" t="inlineStr"/>
      <c r="K20" s="4" t="n"/>
      <c r="L20" s="4" t="n"/>
      <c r="M20" s="2" t="inlineStr">
        <is>
          <t>À contacter</t>
        </is>
      </c>
      <c r="N20" s="2" t="inlineStr"/>
    </row>
    <row r="21">
      <c r="A21" s="5" t="n">
        <v>20</v>
      </c>
      <c r="B21" s="5" t="inlineStr">
        <is>
          <t>Mode</t>
        </is>
      </c>
      <c r="C21" s="5" t="inlineStr">
        <is>
          <t>Kin_vente (@kin_vente)</t>
        </is>
      </c>
      <c r="D21" s="5" t="inlineStr">
        <is>
          <t>WhatsApp +243 903 357 873</t>
        </is>
      </c>
      <c r="E21" s="5" t="inlineStr">
        <is>
          <t>Catalogue + commandes</t>
        </is>
      </c>
      <c r="F21" s="5" t="inlineStr">
        <is>
          <t>Instagram</t>
        </is>
      </c>
      <c r="G21" s="6" t="inlineStr">
        <is>
          <t>https://www.instagram.com/kin_vente/</t>
        </is>
      </c>
      <c r="H21" s="5" t="inlineStr">
        <is>
          <t>Non</t>
        </is>
      </c>
      <c r="I21" s="7" t="n"/>
      <c r="J21" s="5" t="inlineStr"/>
      <c r="K21" s="7" t="n"/>
      <c r="L21" s="7" t="n"/>
      <c r="M21" s="5" t="inlineStr">
        <is>
          <t>À contacter</t>
        </is>
      </c>
      <c r="N21" s="5" t="inlineStr"/>
    </row>
    <row r="22">
      <c r="A22" s="2" t="n">
        <v>21</v>
      </c>
      <c r="B22" s="2" t="inlineStr">
        <is>
          <t>Mode</t>
        </is>
      </c>
      <c r="C22" s="2" t="inlineStr">
        <is>
          <t>NHM Collection (conseil vestimentaire, Kintambo)</t>
        </is>
      </c>
      <c r="D22" s="2" t="inlineStr">
        <is>
          <t>LinkedIn</t>
        </is>
      </c>
      <c r="E22" s="2" t="inlineStr">
        <is>
          <t>Vidéo + mini-site</t>
        </is>
      </c>
      <c r="F22" s="2" t="inlineStr">
        <is>
          <t>Vibe Prospecting</t>
        </is>
      </c>
      <c r="G22" s="2" t="inlineStr"/>
      <c r="H22" s="2" t="inlineStr">
        <is>
          <t>Non</t>
        </is>
      </c>
      <c r="I22" s="4" t="n"/>
      <c r="J22" s="2" t="inlineStr"/>
      <c r="K22" s="4" t="n"/>
      <c r="L22" s="4" t="n"/>
      <c r="M22" s="2" t="inlineStr">
        <is>
          <t>À contacter</t>
        </is>
      </c>
      <c r="N22" s="2" t="inlineStr"/>
    </row>
    <row r="23">
      <c r="A23" s="5" t="n">
        <v>22</v>
      </c>
      <c r="B23" s="5" t="inlineStr">
        <is>
          <t>Fast-food</t>
        </is>
      </c>
      <c r="C23" s="5" t="inlineStr">
        <is>
          <t>Thesia Food</t>
        </is>
      </c>
      <c r="D23" s="5" t="inlineStr">
        <is>
          <t>WhatsApp +243 847 583 826</t>
        </is>
      </c>
      <c r="E23" s="5" t="inlineStr">
        <is>
          <t>Vidéo + commandes</t>
        </is>
      </c>
      <c r="F23" s="5" t="inlineStr">
        <is>
          <t>Recherche web, à vérifier</t>
        </is>
      </c>
      <c r="G23" s="5" t="inlineStr"/>
      <c r="H23" s="5" t="inlineStr">
        <is>
          <t>Non</t>
        </is>
      </c>
      <c r="I23" s="7" t="n"/>
      <c r="J23" s="5" t="inlineStr"/>
      <c r="K23" s="7" t="n"/>
      <c r="L23" s="7" t="n"/>
      <c r="M23" s="5" t="inlineStr">
        <is>
          <t>À contacter</t>
        </is>
      </c>
      <c r="N23" s="5" t="inlineStr"/>
    </row>
    <row r="24">
      <c r="A24" s="2" t="n">
        <v>23</v>
      </c>
      <c r="B24" s="2" t="inlineStr">
        <is>
          <t>Fast-food</t>
        </is>
      </c>
      <c r="C24" s="2" t="inlineStr">
        <is>
          <t>Chawarma City Fast Food</t>
        </is>
      </c>
      <c r="D24" s="2" t="inlineStr">
        <is>
          <t>+243 813 197 224</t>
        </is>
      </c>
      <c r="E24" s="2" t="inlineStr">
        <is>
          <t>Vidéo + menu QR</t>
        </is>
      </c>
      <c r="F24" s="2" t="inlineStr">
        <is>
          <t>Recherche web, à vérifier</t>
        </is>
      </c>
      <c r="G24" s="2" t="inlineStr"/>
      <c r="H24" s="2" t="inlineStr">
        <is>
          <t>Non</t>
        </is>
      </c>
      <c r="I24" s="4" t="n"/>
      <c r="J24" s="2" t="inlineStr"/>
      <c r="K24" s="4" t="n"/>
      <c r="L24" s="4" t="n"/>
      <c r="M24" s="2" t="inlineStr">
        <is>
          <t>À contacter</t>
        </is>
      </c>
      <c r="N24" s="2" t="inlineStr"/>
    </row>
    <row r="25">
      <c r="A25" s="5" t="n">
        <v>24</v>
      </c>
      <c r="B25" s="5" t="inlineStr">
        <is>
          <t>Fast-food</t>
        </is>
      </c>
      <c r="C25" s="5" t="inlineStr">
        <is>
          <t>Tacos Land Kinshasa</t>
        </is>
      </c>
      <c r="D25" s="5" t="inlineStr">
        <is>
          <t>+243 818 421 358</t>
        </is>
      </c>
      <c r="E25" s="5" t="inlineStr">
        <is>
          <t>Vidéo</t>
        </is>
      </c>
      <c r="F25" s="5" t="inlineStr">
        <is>
          <t>Recherche web, à vérifier</t>
        </is>
      </c>
      <c r="G25" s="5" t="inlineStr"/>
      <c r="H25" s="5" t="inlineStr">
        <is>
          <t>Non</t>
        </is>
      </c>
      <c r="I25" s="7" t="n"/>
      <c r="J25" s="5" t="inlineStr"/>
      <c r="K25" s="7" t="n"/>
      <c r="L25" s="7" t="n"/>
      <c r="M25" s="5" t="inlineStr">
        <is>
          <t>À contacter</t>
        </is>
      </c>
      <c r="N25" s="5" t="inlineStr"/>
    </row>
    <row r="26">
      <c r="A26" s="2" t="n">
        <v>25</v>
      </c>
      <c r="B26" s="2" t="inlineStr">
        <is>
          <t>Fast-food</t>
        </is>
      </c>
      <c r="C26" s="2" t="inlineStr">
        <is>
          <t>Braised Afrik (livraison Gombe et Lingwala)</t>
        </is>
      </c>
      <c r="D26" s="2" t="inlineStr">
        <is>
          <t>WhatsApp +243 814 364 433</t>
        </is>
      </c>
      <c r="E26" s="2" t="inlineStr">
        <is>
          <t>Vidéo + commandes</t>
        </is>
      </c>
      <c r="F26" s="2" t="inlineStr">
        <is>
          <t>Petit Futé</t>
        </is>
      </c>
      <c r="G26" s="3" t="inlineStr">
        <is>
          <t>https://www.petitfute.co.uk/v46937-kinshasa/c1165-restaurants/c126-restauration-rapide-a-domicile/c135-sur-place-a-emporter/c138-fast-food/</t>
        </is>
      </c>
      <c r="H26" s="2" t="inlineStr">
        <is>
          <t>Non</t>
        </is>
      </c>
      <c r="I26" s="4" t="n"/>
      <c r="J26" s="2" t="inlineStr"/>
      <c r="K26" s="4" t="n"/>
      <c r="L26" s="4" t="n"/>
      <c r="M26" s="2" t="inlineStr">
        <is>
          <t>À contacter</t>
        </is>
      </c>
      <c r="N26" s="2" t="inlineStr"/>
    </row>
    <row r="27">
      <c r="A27" s="5" t="n">
        <v>26</v>
      </c>
      <c r="B27" s="5" t="inlineStr">
        <is>
          <t>Fast-food</t>
        </is>
      </c>
      <c r="C27" s="5" t="inlineStr">
        <is>
          <t>Royal Burger (Matrix Tower, Gombe)</t>
        </is>
      </c>
      <c r="D27" s="5" t="inlineStr">
        <is>
          <t>+243 906 060 000</t>
        </is>
      </c>
      <c r="E27" s="5" t="inlineStr">
        <is>
          <t>Vidéo (comme Burger Guys)</t>
        </is>
      </c>
      <c r="F27" s="5" t="inlineStr">
        <is>
          <t>Facebook</t>
        </is>
      </c>
      <c r="G27" s="6" t="inlineStr">
        <is>
          <t>https://www.facebook.com/royalburgerkin/</t>
        </is>
      </c>
      <c r="H27" s="5" t="inlineStr">
        <is>
          <t>Non</t>
        </is>
      </c>
      <c r="I27" s="7" t="n"/>
      <c r="J27" s="5" t="inlineStr"/>
      <c r="K27" s="7" t="n"/>
      <c r="L27" s="7" t="n"/>
      <c r="M27" s="5" t="inlineStr">
        <is>
          <t>À contacter</t>
        </is>
      </c>
      <c r="N27" s="5" t="inlineStr"/>
    </row>
    <row r="28">
      <c r="A28" s="2" t="n">
        <v>27</v>
      </c>
      <c r="B28" s="2" t="inlineStr">
        <is>
          <t>Fast-food</t>
        </is>
      </c>
      <c r="C28" s="2" t="inlineStr">
        <is>
          <t>Hungabusta (av. des Aviateurs)</t>
        </is>
      </c>
      <c r="D28" s="2" t="inlineStr">
        <is>
          <t>+243 815 141 400</t>
        </is>
      </c>
      <c r="E28" s="2" t="inlineStr">
        <is>
          <t>Vidéo</t>
        </is>
      </c>
      <c r="F28" s="2" t="inlineStr">
        <is>
          <t>Petit Futé</t>
        </is>
      </c>
      <c r="G28" s="3" t="inlineStr">
        <is>
          <t>https://www.petitfute.co.uk/v46937-kinshasa/c1165-restaurants/c126-restauration-rapide-a-domicile/c135-sur-place-a-emporter/c138-fast-food/</t>
        </is>
      </c>
      <c r="H28" s="2" t="inlineStr">
        <is>
          <t>Non</t>
        </is>
      </c>
      <c r="I28" s="4" t="n"/>
      <c r="J28" s="2" t="inlineStr"/>
      <c r="K28" s="4" t="n"/>
      <c r="L28" s="4" t="n"/>
      <c r="M28" s="2" t="inlineStr">
        <is>
          <t>À contacter</t>
        </is>
      </c>
      <c r="N28" s="2" t="inlineStr"/>
    </row>
    <row r="29">
      <c r="A29" s="5" t="n">
        <v>28</v>
      </c>
      <c r="B29" s="5" t="inlineStr">
        <is>
          <t>Fast-food</t>
        </is>
      </c>
      <c r="C29" s="5" t="inlineStr">
        <is>
          <t>Yummy Food</t>
        </is>
      </c>
      <c r="D29" s="5" t="inlineStr">
        <is>
          <t>+243 845 757 681</t>
        </is>
      </c>
      <c r="E29" s="5" t="inlineStr">
        <is>
          <t>Vidéo + commandes</t>
        </is>
      </c>
      <c r="F29" s="5" t="inlineStr">
        <is>
          <t>Recherche web, à vérifier</t>
        </is>
      </c>
      <c r="G29" s="5" t="inlineStr"/>
      <c r="H29" s="5" t="inlineStr">
        <is>
          <t>Non</t>
        </is>
      </c>
      <c r="I29" s="7" t="n"/>
      <c r="J29" s="5" t="inlineStr"/>
      <c r="K29" s="7" t="n"/>
      <c r="L29" s="7" t="n"/>
      <c r="M29" s="5" t="inlineStr">
        <is>
          <t>À contacter</t>
        </is>
      </c>
      <c r="N29" s="5" t="inlineStr"/>
    </row>
    <row r="30">
      <c r="A30" s="2" t="n">
        <v>29</v>
      </c>
      <c r="B30" s="2" t="inlineStr">
        <is>
          <t>Coiffure et beauté</t>
        </is>
      </c>
      <c r="C30" s="2" t="inlineStr">
        <is>
          <t>Clean Salon de Coiffure (@_clean.r_, tresses)</t>
        </is>
      </c>
      <c r="D30" s="2" t="inlineStr">
        <is>
          <t>WhatsApp +243 812 865 984</t>
        </is>
      </c>
      <c r="E30" s="2" t="inlineStr">
        <is>
          <t>Catalogue de coiffures + vidéo</t>
        </is>
      </c>
      <c r="F30" s="2" t="inlineStr">
        <is>
          <t>Instagram</t>
        </is>
      </c>
      <c r="G30" s="3" t="inlineStr">
        <is>
          <t>https://www.instagram.com/_clean.r_/</t>
        </is>
      </c>
      <c r="H30" s="2" t="inlineStr">
        <is>
          <t>Non</t>
        </is>
      </c>
      <c r="I30" s="4" t="n"/>
      <c r="J30" s="2" t="inlineStr"/>
      <c r="K30" s="4" t="n"/>
      <c r="L30" s="4" t="n"/>
      <c r="M30" s="2" t="inlineStr">
        <is>
          <t>À contacter</t>
        </is>
      </c>
      <c r="N30" s="2" t="inlineStr"/>
    </row>
    <row r="31">
      <c r="A31" s="5" t="n">
        <v>30</v>
      </c>
      <c r="B31" s="5" t="inlineStr">
        <is>
          <t>Coiffure et beauté</t>
        </is>
      </c>
      <c r="C31" s="5" t="inlineStr">
        <is>
          <t>Rosy Hair Style (Cardinal Malula / UNICO)</t>
        </is>
      </c>
      <c r="D31" s="5" t="inlineStr">
        <is>
          <t>WhatsApp +243 839 264 446</t>
        </is>
      </c>
      <c r="E31" s="5" t="inlineStr">
        <is>
          <t>Catalogue de coiffures</t>
        </is>
      </c>
      <c r="F31" s="5" t="inlineStr">
        <is>
          <t>Recherche web, à vérifier</t>
        </is>
      </c>
      <c r="G31" s="5" t="inlineStr"/>
      <c r="H31" s="5" t="inlineStr">
        <is>
          <t>Non</t>
        </is>
      </c>
      <c r="I31" s="7" t="n"/>
      <c r="J31" s="5" t="inlineStr"/>
      <c r="K31" s="7" t="n"/>
      <c r="L31" s="7" t="n"/>
      <c r="M31" s="5" t="inlineStr">
        <is>
          <t>À contacter</t>
        </is>
      </c>
      <c r="N31" s="5" t="inlineStr"/>
    </row>
    <row r="32">
      <c r="A32" s="2" t="n">
        <v>31</v>
      </c>
      <c r="B32" s="2" t="inlineStr">
        <is>
          <t>Coiffure et beauté</t>
        </is>
      </c>
      <c r="C32" s="2" t="inlineStr">
        <is>
          <t>Salon New Class VIP (Kababare)</t>
        </is>
      </c>
      <c r="D32" s="2" t="inlineStr">
        <is>
          <t>WhatsApp +243 815 393 474</t>
        </is>
      </c>
      <c r="E32" s="2" t="inlineStr">
        <is>
          <t>Vidéo + catalogue</t>
        </is>
      </c>
      <c r="F32" s="2" t="inlineStr">
        <is>
          <t>kinshasamaps.com</t>
        </is>
      </c>
      <c r="G32" s="3" t="inlineStr">
        <is>
          <t>https://kinshasamaps.com/listing/salon-de-coiffure-new-class/</t>
        </is>
      </c>
      <c r="H32" s="2" t="inlineStr">
        <is>
          <t>Non</t>
        </is>
      </c>
      <c r="I32" s="4" t="n"/>
      <c r="J32" s="2" t="inlineStr"/>
      <c r="K32" s="4" t="n"/>
      <c r="L32" s="4" t="n"/>
      <c r="M32" s="2" t="inlineStr">
        <is>
          <t>À contacter</t>
        </is>
      </c>
      <c r="N32" s="2" t="inlineStr"/>
    </row>
    <row r="33">
      <c r="A33" s="5" t="n">
        <v>32</v>
      </c>
      <c r="B33" s="5" t="inlineStr">
        <is>
          <t>Coiffure et beauté</t>
        </is>
      </c>
      <c r="C33" s="5" t="inlineStr">
        <is>
          <t>ChouChou Official (Gombe)</t>
        </is>
      </c>
      <c r="D33" s="5" t="inlineStr">
        <is>
          <t>Site</t>
        </is>
      </c>
      <c r="E33" s="5" t="inlineStr">
        <is>
          <t>Vidéo + mini-site</t>
        </is>
      </c>
      <c r="F33" s="5" t="inlineStr">
        <is>
          <t>salonchouchou.com</t>
        </is>
      </c>
      <c r="G33" s="6" t="inlineStr">
        <is>
          <t>https://salonchouchou.com/</t>
        </is>
      </c>
      <c r="H33" s="5" t="inlineStr">
        <is>
          <t>Non</t>
        </is>
      </c>
      <c r="I33" s="7" t="n"/>
      <c r="J33" s="5" t="inlineStr"/>
      <c r="K33" s="7" t="n"/>
      <c r="L33" s="7" t="n"/>
      <c r="M33" s="5" t="inlineStr">
        <is>
          <t>À contacter</t>
        </is>
      </c>
      <c r="N33" s="5" t="inlineStr"/>
    </row>
    <row r="34">
      <c r="A34" s="2" t="n">
        <v>33</v>
      </c>
      <c r="B34" s="2" t="inlineStr">
        <is>
          <t>Coiffure et beauté</t>
        </is>
      </c>
      <c r="C34" s="2" t="inlineStr">
        <is>
          <t>Kalice Hair &amp; Beauty (@kalicehair_)</t>
        </is>
      </c>
      <c r="D34" s="2" t="inlineStr">
        <is>
          <t>WhatsApp +243 992 856 296</t>
        </is>
      </c>
      <c r="E34" s="2" t="inlineStr">
        <is>
          <t>Vidéo + catalogue</t>
        </is>
      </c>
      <c r="F34" s="2" t="inlineStr">
        <is>
          <t>Instagram</t>
        </is>
      </c>
      <c r="G34" s="3" t="inlineStr">
        <is>
          <t>https://www.instagram.com/kalicehair_/</t>
        </is>
      </c>
      <c r="H34" s="2" t="inlineStr">
        <is>
          <t>Non</t>
        </is>
      </c>
      <c r="I34" s="4" t="n"/>
      <c r="J34" s="2" t="inlineStr"/>
      <c r="K34" s="4" t="n"/>
      <c r="L34" s="4" t="n"/>
      <c r="M34" s="2" t="inlineStr">
        <is>
          <t>À contacter</t>
        </is>
      </c>
      <c r="N34" s="2" t="inlineStr"/>
    </row>
    <row r="35">
      <c r="A35" s="5" t="n">
        <v>34</v>
      </c>
      <c r="B35" s="5" t="inlineStr">
        <is>
          <t>Coiffure et beauté</t>
        </is>
      </c>
      <c r="C35" s="5" t="inlineStr">
        <is>
          <t>Spa David Sawah (av. de l'Équateur)</t>
        </is>
      </c>
      <c r="D35" s="5" t="inlineStr">
        <is>
          <t>+243 998 222 229</t>
        </is>
      </c>
      <c r="E35" s="5" t="inlineStr">
        <is>
          <t>Vidéo</t>
        </is>
      </c>
      <c r="F35" s="5" t="inlineStr">
        <is>
          <t>spa-davidsawah.com</t>
        </is>
      </c>
      <c r="G35" s="6" t="inlineStr">
        <is>
          <t>https://www.spa-davidsawah.com/</t>
        </is>
      </c>
      <c r="H35" s="5" t="inlineStr">
        <is>
          <t>Non</t>
        </is>
      </c>
      <c r="I35" s="7" t="n"/>
      <c r="J35" s="5" t="inlineStr"/>
      <c r="K35" s="7" t="n"/>
      <c r="L35" s="7" t="n"/>
      <c r="M35" s="5" t="inlineStr">
        <is>
          <t>À contacter</t>
        </is>
      </c>
      <c r="N35" s="5" t="inlineStr"/>
    </row>
    <row r="36">
      <c r="A36" s="2" t="n">
        <v>35</v>
      </c>
      <c r="B36" s="2" t="inlineStr">
        <is>
          <t>Téléphones, électronique, e-commerce</t>
        </is>
      </c>
      <c r="C36" s="2" t="inlineStr">
        <is>
          <t>Kin Distribution Phone (Galerie Sarepta, gros et détail)</t>
        </is>
      </c>
      <c r="D36" s="2" t="inlineStr">
        <is>
          <t>wa.me/243818589709</t>
        </is>
      </c>
      <c r="E36" s="2" t="inlineStr">
        <is>
          <t>Gestion de stock + catalogue</t>
        </is>
      </c>
      <c r="F36" s="2" t="inlineStr">
        <is>
          <t>Facebook</t>
        </is>
      </c>
      <c r="G36" s="3" t="inlineStr">
        <is>
          <t>https://www.facebook.com/Kindistributionphone/</t>
        </is>
      </c>
      <c r="H36" s="2" t="inlineStr">
        <is>
          <t>Non</t>
        </is>
      </c>
      <c r="I36" s="4" t="n"/>
      <c r="J36" s="2" t="inlineStr"/>
      <c r="K36" s="4" t="n"/>
      <c r="L36" s="4" t="n"/>
      <c r="M36" s="2" t="inlineStr">
        <is>
          <t>À contacter</t>
        </is>
      </c>
      <c r="N36" s="2" t="inlineStr"/>
    </row>
    <row r="37">
      <c r="A37" s="5" t="n">
        <v>36</v>
      </c>
      <c r="B37" s="5" t="inlineStr">
        <is>
          <t>Téléphones, électronique, e-commerce</t>
        </is>
      </c>
      <c r="C37" s="5" t="inlineStr">
        <is>
          <t>Mobile RDC (téléphones en ligne)</t>
        </is>
      </c>
      <c r="D37" s="5" t="inlineStr">
        <is>
          <t>Site</t>
        </is>
      </c>
      <c r="E37" s="5" t="inlineStr">
        <is>
          <t>Stock + vidéo</t>
        </is>
      </c>
      <c r="F37" s="5" t="inlineStr">
        <is>
          <t>mobile-rdc.com</t>
        </is>
      </c>
      <c r="G37" s="6" t="inlineStr">
        <is>
          <t>https://mobile-rdc.com/</t>
        </is>
      </c>
      <c r="H37" s="5" t="inlineStr">
        <is>
          <t>Non</t>
        </is>
      </c>
      <c r="I37" s="7" t="n"/>
      <c r="J37" s="5" t="inlineStr"/>
      <c r="K37" s="7" t="n"/>
      <c r="L37" s="7" t="n"/>
      <c r="M37" s="5" t="inlineStr">
        <is>
          <t>À contacter</t>
        </is>
      </c>
      <c r="N37" s="5" t="inlineStr"/>
    </row>
    <row r="38">
      <c r="A38" s="2" t="n">
        <v>37</v>
      </c>
      <c r="B38" s="2" t="inlineStr">
        <is>
          <t>Téléphones, électronique, e-commerce</t>
        </is>
      </c>
      <c r="C38" s="2" t="inlineStr">
        <is>
          <t>ARCO SHOP (Limete)</t>
        </is>
      </c>
      <c r="D38" s="2" t="inlineStr">
        <is>
          <t>+243 854 899 854</t>
        </is>
      </c>
      <c r="E38" s="2" t="inlineStr">
        <is>
          <t>Stock + commandes</t>
        </is>
      </c>
      <c r="F38" s="2" t="inlineStr">
        <is>
          <t>arcoshopping.com</t>
        </is>
      </c>
      <c r="G38" s="3" t="inlineStr">
        <is>
          <t>https://arcoshopping.com/</t>
        </is>
      </c>
      <c r="H38" s="2" t="inlineStr">
        <is>
          <t>Non</t>
        </is>
      </c>
      <c r="I38" s="4" t="n"/>
      <c r="J38" s="2" t="inlineStr"/>
      <c r="K38" s="4" t="n"/>
      <c r="L38" s="4" t="n"/>
      <c r="M38" s="2" t="inlineStr">
        <is>
          <t>À contacter</t>
        </is>
      </c>
      <c r="N38" s="2" t="inlineStr"/>
    </row>
    <row r="39">
      <c r="A39" s="5" t="n">
        <v>38</v>
      </c>
      <c r="B39" s="5" t="inlineStr">
        <is>
          <t>Téléphones, électronique, e-commerce</t>
        </is>
      </c>
      <c r="C39" s="5" t="inlineStr">
        <is>
          <t>Congo Shop</t>
        </is>
      </c>
      <c r="D39" s="5" t="inlineStr">
        <is>
          <t>WhatsApp +243 840 652 395</t>
        </is>
      </c>
      <c r="E39" s="5" t="inlineStr">
        <is>
          <t>Stock + commandes</t>
        </is>
      </c>
      <c r="F39" s="5" t="inlineStr">
        <is>
          <t>congo-shop.com</t>
        </is>
      </c>
      <c r="G39" s="6" t="inlineStr">
        <is>
          <t>https://congo-shop.com/</t>
        </is>
      </c>
      <c r="H39" s="5" t="inlineStr">
        <is>
          <t>Non</t>
        </is>
      </c>
      <c r="I39" s="7" t="n"/>
      <c r="J39" s="5" t="inlineStr"/>
      <c r="K39" s="7" t="n"/>
      <c r="L39" s="7" t="n"/>
      <c r="M39" s="5" t="inlineStr">
        <is>
          <t>À contacter</t>
        </is>
      </c>
      <c r="N39" s="5" t="inlineStr"/>
    </row>
    <row r="40">
      <c r="A40" s="2" t="n">
        <v>39</v>
      </c>
      <c r="B40" s="2" t="inlineStr">
        <is>
          <t>Téléphones, électronique, e-commerce</t>
        </is>
      </c>
      <c r="C40" s="2" t="inlineStr">
        <is>
          <t>Easy To Buy (e-commerce)</t>
        </is>
      </c>
      <c r="D40" s="2" t="inlineStr">
        <is>
          <t>Site</t>
        </is>
      </c>
      <c r="E40" s="2" t="inlineStr">
        <is>
          <t>Vidéo + automatisation des commandes</t>
        </is>
      </c>
      <c r="F40" s="2" t="inlineStr">
        <is>
          <t>easy-tobuy.com (Vibe Prospecting)</t>
        </is>
      </c>
      <c r="G40" s="3" t="inlineStr">
        <is>
          <t>https://easy-tobuy.com</t>
        </is>
      </c>
      <c r="H40" s="2" t="inlineStr">
        <is>
          <t>Non</t>
        </is>
      </c>
      <c r="I40" s="4" t="n"/>
      <c r="J40" s="2" t="inlineStr"/>
      <c r="K40" s="4" t="n"/>
      <c r="L40" s="4" t="n"/>
      <c r="M40" s="2" t="inlineStr">
        <is>
          <t>À contacter</t>
        </is>
      </c>
      <c r="N40" s="2" t="inlineStr"/>
    </row>
    <row r="41">
      <c r="A41" s="5" t="n">
        <v>40</v>
      </c>
      <c r="B41" s="5" t="inlineStr">
        <is>
          <t>Construction</t>
        </is>
      </c>
      <c r="C41" s="5" t="inlineStr">
        <is>
          <t>Kin Brique (briques, ciment, fers, commandes WhatsApp)</t>
        </is>
      </c>
      <c r="D41" s="5" t="inlineStr">
        <is>
          <t>Site</t>
        </is>
      </c>
      <c r="E41" s="5" t="inlineStr">
        <is>
          <t>Gestion de stock + vidéo</t>
        </is>
      </c>
      <c r="F41" s="5" t="inlineStr">
        <is>
          <t>kinbrique.com</t>
        </is>
      </c>
      <c r="G41" s="6" t="inlineStr">
        <is>
          <t>https://kinbrique.com/</t>
        </is>
      </c>
      <c r="H41" s="5" t="inlineStr">
        <is>
          <t>Non</t>
        </is>
      </c>
      <c r="I41" s="7" t="n"/>
      <c r="J41" s="5" t="inlineStr"/>
      <c r="K41" s="7" t="n"/>
      <c r="L41" s="7" t="n"/>
      <c r="M41" s="5" t="inlineStr">
        <is>
          <t>À contacter</t>
        </is>
      </c>
      <c r="N41" s="5" t="inlineStr"/>
    </row>
  </sheetData>
  <autoFilter ref="A1:N41"/>
  <conditionalFormatting sqref="M2:M41">
    <cfRule type="expression" priority="1" dxfId="0">
      <formula>$M2="Client"</formula>
    </cfRule>
    <cfRule type="expression" priority="2" dxfId="1">
      <formula>$M2="Intéressé"</formula>
    </cfRule>
    <cfRule type="expression" priority="3" dxfId="2">
      <formula>$M2="Pas intéressé"</formula>
    </cfRule>
  </conditionalFormatting>
  <dataValidations count="2">
    <dataValidation sqref="H2:H41" showDropDown="0" showInputMessage="0" showErrorMessage="0" allowBlank="1" type="list">
      <formula1>"Oui,Non,Faux numéro"</formula1>
    </dataValidation>
    <dataValidation sqref="M2:M41" showDropDown="0" showInputMessage="0" showErrorMessage="0" allowBlank="1" type="list">
      <formula1>"À contacter,Message envoyé,Relancé,Intéressé,Démo envoyée,Client,Pas intéressé"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8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30" r:id="rId21"/>
    <hyperlink xmlns:r="http://schemas.openxmlformats.org/officeDocument/2006/relationships" ref="G32" r:id="rId22"/>
    <hyperlink xmlns:r="http://schemas.openxmlformats.org/officeDocument/2006/relationships" ref="G33" r:id="rId23"/>
    <hyperlink xmlns:r="http://schemas.openxmlformats.org/officeDocument/2006/relationships" ref="G34" r:id="rId24"/>
    <hyperlink xmlns:r="http://schemas.openxmlformats.org/officeDocument/2006/relationships" ref="G35" r:id="rId25"/>
    <hyperlink xmlns:r="http://schemas.openxmlformats.org/officeDocument/2006/relationships" ref="G36" r:id="rId26"/>
    <hyperlink xmlns:r="http://schemas.openxmlformats.org/officeDocument/2006/relationships" ref="G37" r:id="rId27"/>
    <hyperlink xmlns:r="http://schemas.openxmlformats.org/officeDocument/2006/relationships" ref="G38" r:id="rId28"/>
    <hyperlink xmlns:r="http://schemas.openxmlformats.org/officeDocument/2006/relationships" ref="G39" r:id="rId29"/>
    <hyperlink xmlns:r="http://schemas.openxmlformats.org/officeDocument/2006/relationships" ref="G40" r:id="rId30"/>
    <hyperlink xmlns:r="http://schemas.openxmlformats.org/officeDocument/2006/relationships" ref="G41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8" t="inlineStr">
        <is>
          <t>Suivi de la prospection : 40 nouvelles entreprises</t>
        </is>
      </c>
    </row>
    <row r="3">
      <c r="A3" s="9" t="inlineStr">
        <is>
          <t>Statut</t>
        </is>
      </c>
      <c r="B3" s="9" t="inlineStr">
        <is>
          <t>Nombre</t>
        </is>
      </c>
    </row>
    <row r="4">
      <c r="A4" t="inlineStr">
        <is>
          <t>À contacter</t>
        </is>
      </c>
      <c r="B4">
        <f>COUNTIF(Prospects!M:M,"À contacter")</f>
        <v/>
      </c>
    </row>
    <row r="5">
      <c r="A5" t="inlineStr">
        <is>
          <t>Message envoyé</t>
        </is>
      </c>
      <c r="B5">
        <f>COUNTIF(Prospects!M:M,"Message envoyé")</f>
        <v/>
      </c>
    </row>
    <row r="6">
      <c r="A6" t="inlineStr">
        <is>
          <t>Relancé</t>
        </is>
      </c>
      <c r="B6">
        <f>COUNTIF(Prospects!M:M,"Relancé")</f>
        <v/>
      </c>
    </row>
    <row r="7">
      <c r="A7" t="inlineStr">
        <is>
          <t>Intéressé</t>
        </is>
      </c>
      <c r="B7">
        <f>COUNTIF(Prospects!M:M,"Intéressé")</f>
        <v/>
      </c>
    </row>
    <row r="8">
      <c r="A8" t="inlineStr">
        <is>
          <t>Démo envoyée</t>
        </is>
      </c>
      <c r="B8">
        <f>COUNTIF(Prospects!M:M,"Démo envoyée")</f>
        <v/>
      </c>
    </row>
    <row r="9">
      <c r="A9" t="inlineStr">
        <is>
          <t>Client</t>
        </is>
      </c>
      <c r="B9">
        <f>COUNTIF(Prospects!M:M,"Client")</f>
        <v/>
      </c>
    </row>
    <row r="10">
      <c r="A10" t="inlineStr">
        <is>
          <t>Pas intéressé</t>
        </is>
      </c>
      <c r="B10">
        <f>COUNTIF(Prospects!M:M,"Pas intéressé")</f>
        <v/>
      </c>
    </row>
    <row r="12">
      <c r="A12" s="10" t="inlineStr">
        <is>
          <t>Numéros vérifiés</t>
        </is>
      </c>
      <c r="B12">
        <f>COUNTIF(Prospects!H:H,"Oui")</f>
        <v/>
      </c>
    </row>
    <row r="14">
      <c r="A14" s="10" t="inlineStr">
        <is>
          <t>Catégorie</t>
        </is>
      </c>
      <c r="B14" s="10" t="inlineStr">
        <is>
          <t>Entreprises</t>
        </is>
      </c>
    </row>
    <row r="15">
      <c r="A15" t="inlineStr">
        <is>
          <t>Pharmacies</t>
        </is>
      </c>
      <c r="B15">
        <f>COUNTIF(Prospects!B:B,"Pharmacies")</f>
        <v/>
      </c>
    </row>
    <row r="16">
      <c r="A16" t="inlineStr">
        <is>
          <t>Pâtisseries</t>
        </is>
      </c>
      <c r="B16">
        <f>COUNTIF(Prospects!B:B,"Pâtisseries")</f>
        <v/>
      </c>
    </row>
    <row r="17">
      <c r="A17" t="inlineStr">
        <is>
          <t>Cosmétiques et parfumerie</t>
        </is>
      </c>
      <c r="B17">
        <f>COUNTIF(Prospects!B:B,"Cosmétiques et parfumerie")</f>
        <v/>
      </c>
    </row>
    <row r="18">
      <c r="A18" t="inlineStr">
        <is>
          <t>Mode</t>
        </is>
      </c>
      <c r="B18">
        <f>COUNTIF(Prospects!B:B,"Mode")</f>
        <v/>
      </c>
    </row>
    <row r="19">
      <c r="A19" t="inlineStr">
        <is>
          <t>Fast-food</t>
        </is>
      </c>
      <c r="B19">
        <f>COUNTIF(Prospects!B:B,"Fast-food")</f>
        <v/>
      </c>
    </row>
    <row r="20">
      <c r="A20" t="inlineStr">
        <is>
          <t>Coiffure et beauté</t>
        </is>
      </c>
      <c r="B20">
        <f>COUNTIF(Prospects!B:B,"Coiffure et beauté")</f>
        <v/>
      </c>
    </row>
    <row r="21">
      <c r="A21" t="inlineStr">
        <is>
          <t>Téléphones, électronique, e-commerce</t>
        </is>
      </c>
      <c r="B21">
        <f>COUNTIF(Prospects!B:B,"Téléphones, électronique, e-commerce")</f>
        <v/>
      </c>
    </row>
    <row r="22">
      <c r="A22" t="inlineStr">
        <is>
          <t>Construction</t>
        </is>
      </c>
      <c r="B22">
        <f>COUNTIF(Prospects!B:B,"Construction")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Premier message (avec la question de diagnostic)</t>
        </is>
      </c>
    </row>
    <row r="2" ht="150" customHeight="1">
      <c r="A2" s="12" t="inlineStr">
        <is>
          <t>Bonjour [nom] 👋 Je m'appelle Mike, d'Allegra Digital Ground. J'aide les commerces de Kinshasa à vendre plus et à mieux s'organiser : vidéos pour les statuts, catalogue WhatsApp, tableaux de gestion de stock.
Une petite question : aujourd'hui, qu'est-ce qui vous prend le plus de temps ou vous fait perdre de l'argent : trouver des clients, répondre aux commandes, ou suivre votre stock ?</t>
        </is>
      </c>
    </row>
    <row r="4">
      <c r="A4" s="11" t="inlineStr">
        <is>
          <t>Nos offres</t>
        </is>
      </c>
    </row>
    <row r="5">
      <c r="A5" t="inlineStr">
        <is>
          <t>1. Vidéo animée de 20-30 s avec leurs photos (statuts, stories, pubs)</t>
        </is>
      </c>
    </row>
    <row r="6">
      <c r="A6" t="inlineStr">
        <is>
          <t>2. Catalogue digital + QR code + configuration WhatsApp Business</t>
        </is>
      </c>
    </row>
    <row r="7">
      <c r="A7" t="inlineStr">
        <is>
          <t>3. Mini-site vitrine d'une page</t>
        </is>
      </c>
    </row>
    <row r="8">
      <c r="A8" t="inlineStr">
        <is>
          <t>4. Templates Excel installés : gestion de stock, commandes, caisse et marge (avec Desire)</t>
        </is>
      </c>
    </row>
    <row r="9">
      <c r="A9" t="inlineStr">
        <is>
          <t>5. Automatisation (n8n) : commandes et alertes qui se font seules</t>
        </is>
      </c>
    </row>
    <row r="10">
      <c r="A10" t="inlineStr">
        <is>
          <t>6. Contenu au mois : une vidéo par jour ou par semaine, avec le calendrier (comme la semaine test de La Ruche du Terroir)</t>
        </is>
      </c>
    </row>
    <row r="12">
      <c r="A12" s="13" t="inlineStr">
        <is>
          <t>Avant d'écrire : vérifier que chaque numéro a bien un compte WhatsApp au nom de l'entreprise.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2026-10-07T06:51:05Z</dcterms:created>
  <dcterms:modified xsi:type="dcterms:W3CDTF">2026-10-07T06:51:05Z</dcterms:modified>
</cp:coreProperties>
</file>