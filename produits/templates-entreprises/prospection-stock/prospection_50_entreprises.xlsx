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ivi" sheetId="1" state="visible" r:id="rId3"/>
    <sheet name="Prospects" sheetId="2" state="visible" r:id="rId4"/>
    <sheet name="Messages" sheetId="3" state="visible" r:id="rId5"/>
  </sheets>
  <definedNames>
    <definedName function="false" hidden="true" localSheetId="1" name="_xlnm._FilterDatabase" vbProcedure="false">Prospects!$A$4:$P$51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<sst xmlns="http://schemas.openxmlformats.org/spreadsheetml/2006/main" count="437" uniqueCount="180">
  <si>
    <t xml:space="preserve">Suivi de la prospection</t>
  </si>
  <si>
    <t xml:space="preserve">Statut</t>
  </si>
  <si>
    <t xml:space="preserve">Total</t>
  </si>
  <si>
    <t xml:space="preserve">Vague 1</t>
  </si>
  <si>
    <t xml:space="preserve">Vague 2</t>
  </si>
  <si>
    <t xml:space="preserve">Vague 3</t>
  </si>
  <si>
    <t xml:space="preserve">À contacter</t>
  </si>
  <si>
    <t xml:space="preserve">Message envoyé</t>
  </si>
  <si>
    <t xml:space="preserve">Relance 1 faite</t>
  </si>
  <si>
    <t xml:space="preserve">Relance 2 faite</t>
  </si>
  <si>
    <t xml:space="preserve">A répondu</t>
  </si>
  <si>
    <t xml:space="preserve">Démo prévue</t>
  </si>
  <si>
    <t xml:space="preserve">Démo faite</t>
  </si>
  <si>
    <t xml:space="preserve">Client</t>
  </si>
  <si>
    <t xml:space="preserve">Pas intéressé</t>
  </si>
  <si>
    <t xml:space="preserve">Sans réponse</t>
  </si>
  <si>
    <t xml:space="preserve">Indicateurs</t>
  </si>
  <si>
    <t xml:space="preserve">Entreprises contactées</t>
  </si>
  <si>
    <t xml:space="preserve">Ont répondu (ou plus loin)</t>
  </si>
  <si>
    <t xml:space="preserve">Taux de réponse</t>
  </si>
  <si>
    <t xml:space="preserve">Démos faites</t>
  </si>
  <si>
    <t xml:space="preserve">Clients</t>
  </si>
  <si>
    <t xml:space="preserve">Le taux de réponse compte « A répondu », « Démo prévue », « Démo faite » et « Client ».</t>
  </si>
  <si>
    <t xml:space="preserve">Prospection : template « Gestion de stock » et système automatisé</t>
  </si>
  <si>
    <t xml:space="preserve">Jaune = à remplir · Gris = automatique · Cliquez sur « Ouvrir WhatsApp » : le message 1 est déjà écrit, ajoutez la vidéo puis envoyez.</t>
  </si>
  <si>
    <t xml:space="preserve">N°</t>
  </si>
  <si>
    <t xml:space="preserve">Vague</t>
  </si>
  <si>
    <t xml:space="preserve">Priorité</t>
  </si>
  <si>
    <t xml:space="preserve">Entreprise</t>
  </si>
  <si>
    <t xml:space="preserve">Ville</t>
  </si>
  <si>
    <t xml:space="preserve">Téléphone</t>
  </si>
  <si>
    <t xml:space="preserve">WhatsApp</t>
  </si>
  <si>
    <t xml:space="preserve">Type (fichier)</t>
  </si>
  <si>
    <t xml:space="preserve">Segment</t>
  </si>
  <si>
    <t xml:space="preserve">Date du 1er message</t>
  </si>
  <si>
    <t xml:space="preserve">Relance 1 le</t>
  </si>
  <si>
    <t xml:space="preserve">Relance 2 le</t>
  </si>
  <si>
    <t xml:space="preserve">Prochaine action</t>
  </si>
  <si>
    <t xml:space="preserve">Réponse / notes</t>
  </si>
  <si>
    <t xml:space="preserve">À vérifier</t>
  </si>
  <si>
    <t xml:space="preserve">A</t>
  </si>
  <si>
    <t xml:space="preserve">LOSAKO SHAP</t>
  </si>
  <si>
    <t xml:space="preserve">Kinshasa</t>
  </si>
  <si>
    <t xml:space="preserve">+243 821 006 430</t>
  </si>
  <si>
    <t xml:space="preserve">Ouvrir WhatsApp</t>
  </si>
  <si>
    <t xml:space="preserve">Magasin de telephone</t>
  </si>
  <si>
    <t xml:space="preserve">Téléphones, électronique, informatique</t>
  </si>
  <si>
    <t xml:space="preserve">ELECTRONIC STORE</t>
  </si>
  <si>
    <t xml:space="preserve">+243 999 912 239</t>
  </si>
  <si>
    <t xml:space="preserve">Electronique</t>
  </si>
  <si>
    <t xml:space="preserve">Nom corrigé (fichier : ELETRONIC STORE)</t>
  </si>
  <si>
    <t xml:space="preserve">MI KINSHASA</t>
  </si>
  <si>
    <t xml:space="preserve">+243 816 812 630</t>
  </si>
  <si>
    <t xml:space="preserve">XIAOMI STORE KINSHASA</t>
  </si>
  <si>
    <t xml:space="preserve">+243 902 301 721</t>
  </si>
  <si>
    <t xml:space="preserve">Nom corrigé (fichier : XIAIMI STORE KINSHASA)</t>
  </si>
  <si>
    <t xml:space="preserve">MICROCONCEPT</t>
  </si>
  <si>
    <t xml:space="preserve">+243 812 662 378</t>
  </si>
  <si>
    <t xml:space="preserve">LNK AFRICA 2</t>
  </si>
  <si>
    <t xml:space="preserve">+243 811 558 008</t>
  </si>
  <si>
    <t xml:space="preserve">5G STORE</t>
  </si>
  <si>
    <t xml:space="preserve">Lubumbashi</t>
  </si>
  <si>
    <t xml:space="preserve">+243 815 682 171</t>
  </si>
  <si>
    <t xml:space="preserve">CLASS MOBILE</t>
  </si>
  <si>
    <t xml:space="preserve">+243 906 900 600</t>
  </si>
  <si>
    <t xml:space="preserve">VIP INFORMATIQUE</t>
  </si>
  <si>
    <t xml:space="preserve">+243 854 700 000</t>
  </si>
  <si>
    <t xml:space="preserve">SPACE-X COMPUTERS</t>
  </si>
  <si>
    <t xml:space="preserve">+243 970 278 527</t>
  </si>
  <si>
    <t xml:space="preserve">Informatique</t>
  </si>
  <si>
    <t xml:space="preserve">BIBIN BUSINESS</t>
  </si>
  <si>
    <t xml:space="preserve">+243 843 295 999</t>
  </si>
  <si>
    <t xml:space="preserve">BEST BUY CONGO SARL</t>
  </si>
  <si>
    <t xml:space="preserve">+243 812 626 000</t>
  </si>
  <si>
    <t xml:space="preserve">NOBLE ELECTRONIQUE</t>
  </si>
  <si>
    <t xml:space="preserve">+243 975 222 660</t>
  </si>
  <si>
    <t xml:space="preserve">DEALST</t>
  </si>
  <si>
    <t xml:space="preserve">+243 994 797 830</t>
  </si>
  <si>
    <t xml:space="preserve">Jeux et informatique</t>
  </si>
  <si>
    <t xml:space="preserve">TIM SHOP</t>
  </si>
  <si>
    <t xml:space="preserve">+243 832 592 599</t>
  </si>
  <si>
    <t xml:space="preserve">QUIN ELECTRO</t>
  </si>
  <si>
    <t xml:space="preserve">+243 850 784 589</t>
  </si>
  <si>
    <t xml:space="preserve">ETS KORO ELECTRONIQUE</t>
  </si>
  <si>
    <t xml:space="preserve">+243 824 486 441</t>
  </si>
  <si>
    <t xml:space="preserve">VECOM SHOP</t>
  </si>
  <si>
    <t xml:space="preserve">+243 890 027 731</t>
  </si>
  <si>
    <t xml:space="preserve">GENI LOGICIEL</t>
  </si>
  <si>
    <t xml:space="preserve">+243 976 935 491</t>
  </si>
  <si>
    <t xml:space="preserve">ETS FORUM ELECTRONICS</t>
  </si>
  <si>
    <t xml:space="preserve">+243 971 828 481</t>
  </si>
  <si>
    <t xml:space="preserve">KLAMMSHOP BEAUTY SUPPLY</t>
  </si>
  <si>
    <t xml:space="preserve">+243 846 384 444</t>
  </si>
  <si>
    <t xml:space="preserve">Cosmetique</t>
  </si>
  <si>
    <t xml:space="preserve">Cosmétique et parfumerie</t>
  </si>
  <si>
    <t xml:space="preserve">BISOUS COSMETICS</t>
  </si>
  <si>
    <t xml:space="preserve">+243 898 278 139</t>
  </si>
  <si>
    <t xml:space="preserve">EBUKA COSMETIQUE ET BIJOUX RDC</t>
  </si>
  <si>
    <t xml:space="preserve">+243 854 554 191</t>
  </si>
  <si>
    <t xml:space="preserve">K LUXE PARFUMS ET COSMETIQUES</t>
  </si>
  <si>
    <t xml:space="preserve">+243 975 198 369</t>
  </si>
  <si>
    <t xml:space="preserve">JOSEPHA COSMETICS</t>
  </si>
  <si>
    <t xml:space="preserve">+243 840 198 323</t>
  </si>
  <si>
    <t xml:space="preserve">KYRA KINSHASA</t>
  </si>
  <si>
    <t xml:space="preserve">+243 815 953 082</t>
  </si>
  <si>
    <t xml:space="preserve">BRICOKIN</t>
  </si>
  <si>
    <t xml:space="preserve">+243 818 966 780</t>
  </si>
  <si>
    <t xml:space="preserve">Le nom évoque le bricolage alors que le type est « cosmétique » : vérifier</t>
  </si>
  <si>
    <t xml:space="preserve">BORA COSMETIQUE</t>
  </si>
  <si>
    <t xml:space="preserve">+243 826 918 127</t>
  </si>
  <si>
    <t xml:space="preserve">KYRA LUBUMBASHI</t>
  </si>
  <si>
    <t xml:space="preserve">+243 998 885 902</t>
  </si>
  <si>
    <t xml:space="preserve">Parfumerie</t>
  </si>
  <si>
    <t xml:space="preserve">SHEILA COSMETICS GOLF</t>
  </si>
  <si>
    <t xml:space="preserve">+243 811 874 359</t>
  </si>
  <si>
    <t xml:space="preserve">PARFUMERIE ARCHE DE DIEU</t>
  </si>
  <si>
    <t xml:space="preserve">+243 976 884 155</t>
  </si>
  <si>
    <t xml:space="preserve">ENTREPRISE CPC</t>
  </si>
  <si>
    <t xml:space="preserve">+243 998 357 214</t>
  </si>
  <si>
    <t xml:space="preserve">Peinture batiment</t>
  </si>
  <si>
    <t xml:space="preserve">Quincaillerie et peinture</t>
  </si>
  <si>
    <t xml:space="preserve">QUIN LEY SARLU</t>
  </si>
  <si>
    <t xml:space="preserve">+243 843 006 054</t>
  </si>
  <si>
    <t xml:space="preserve">Quincailleries</t>
  </si>
  <si>
    <t xml:space="preserve">KYUMACO</t>
  </si>
  <si>
    <t xml:space="preserve">+243 907 784 433</t>
  </si>
  <si>
    <t xml:space="preserve">QUINMAT</t>
  </si>
  <si>
    <t xml:space="preserve">+243 824 130 000</t>
  </si>
  <si>
    <t xml:space="preserve">M'SIRI QUINCAILLERIE &amp; DIVERS</t>
  </si>
  <si>
    <t xml:space="preserve">+243 816 785 109</t>
  </si>
  <si>
    <t xml:space="preserve">C</t>
  </si>
  <si>
    <t xml:space="preserve">PREDI B</t>
  </si>
  <si>
    <t xml:space="preserve">?</t>
  </si>
  <si>
    <t xml:space="preserve">+90 533 835 38 57</t>
  </si>
  <si>
    <t xml:space="preserve">Ville manquante. Numéro hors RDC (+90 = Turquie) : vérifier avant d'écrire</t>
  </si>
  <si>
    <t xml:space="preserve">B</t>
  </si>
  <si>
    <t xml:space="preserve">YAF YAF</t>
  </si>
  <si>
    <t xml:space="preserve">+243 903 045 773</t>
  </si>
  <si>
    <t xml:space="preserve">Boutique d'habillement</t>
  </si>
  <si>
    <t xml:space="preserve">Habillement</t>
  </si>
  <si>
    <t xml:space="preserve">PERLUNA STORE</t>
  </si>
  <si>
    <t xml:space="preserve">+243 848 405 000</t>
  </si>
  <si>
    <t xml:space="preserve">EGRA BOUTIQUE</t>
  </si>
  <si>
    <t xml:space="preserve">+243 856 316 267</t>
  </si>
  <si>
    <t xml:space="preserve">Habillement femme</t>
  </si>
  <si>
    <t xml:space="preserve">SCHOLA BEAUTY AND SERVICE</t>
  </si>
  <si>
    <t xml:space="preserve">+243 827 812 704</t>
  </si>
  <si>
    <t xml:space="preserve">Habillement et divers femme</t>
  </si>
  <si>
    <t xml:space="preserve">AMICONGO LUBUMBASHI</t>
  </si>
  <si>
    <t xml:space="preserve">+243 997 408 340</t>
  </si>
  <si>
    <t xml:space="preserve">Entrepot</t>
  </si>
  <si>
    <t xml:space="preserve">Entrepôt et distribution</t>
  </si>
  <si>
    <t xml:space="preserve">ETS TROPICAL PRODUCTS</t>
  </si>
  <si>
    <t xml:space="preserve">+243 997 024 727</t>
  </si>
  <si>
    <t xml:space="preserve">Production et distribution d'eau</t>
  </si>
  <si>
    <t xml:space="preserve">KEMBEZI PHARMA CARE</t>
  </si>
  <si>
    <t xml:space="preserve">+243 856 152 457</t>
  </si>
  <si>
    <t xml:space="preserve">Pharmaceutique</t>
  </si>
  <si>
    <t xml:space="preserve">Pharmacie</t>
  </si>
  <si>
    <t xml:space="preserve">Attendre la colonne « date de péremption » dans le template</t>
  </si>
  <si>
    <t xml:space="preserve">ZOTTOSPHARMA</t>
  </si>
  <si>
    <t xml:space="preserve">+243 818 151 111</t>
  </si>
  <si>
    <t xml:space="preserve">BETA CONSTRUCTION</t>
  </si>
  <si>
    <t xml:space="preserve">+243 999 273 585</t>
  </si>
  <si>
    <t xml:space="preserve">Construction</t>
  </si>
  <si>
    <t xml:space="preserve">Besoin de stock à confirmer (service ou chantier, pas une boutique)</t>
  </si>
  <si>
    <t xml:space="preserve">EAUCIEL</t>
  </si>
  <si>
    <t xml:space="preserve">+243 997 169 422</t>
  </si>
  <si>
    <t xml:space="preserve">Traitement d'eau</t>
  </si>
  <si>
    <t xml:space="preserve">Les messages (vous)</t>
  </si>
  <si>
    <t xml:space="preserve">Message 1 (jour 0) + vidéo de présentation</t>
  </si>
  <si>
    <t xml:space="preserve">Bonjour [Nom] 👋
Je suis Mike, d'Allegra Digital Ground.
Avec tous vos modèles, accessoires et pièces, savoir exactement ce qu'il reste en stock prend vite du temps.
On a créé un système simple : vous notez vos ventes et vos arrivages depuis votre téléphone, le stock se calcule tout seul, et vous recevez sur WhatsApp les alertes de stock bas et le bilan du soir.
Je vous envoie une vidéo de 37 secondes qui montre comment ça marche 👇
Petite question : aujourd'hui, comment suivez-vous votre stock ? Cahier, Excel, ou de tête ?</t>
  </si>
  <si>
    <t xml:space="preserve">Phrase d'accroche selon le segment</t>
  </si>
  <si>
    <t xml:space="preserve">• Téléphones, électronique, informatique : Avec tous vos modèles, accessoires et pièces, savoir exactement ce qu'il reste en stock prend vite du temps.
• Cosmétique et parfumerie : Avec autant de références, il arrive qu'un produit manque sans qu'on l'ait vu venir, ou qu'on dise « c'est fini » alors qu'il en restait.
• Quincaillerie et peinture : Dans une quincaillerie, le stock coûte cher. Savoir ce qu'il reste et ce qu'il vaut, sans tout recompter, change beaucoup de choses.
• Habillement : Entre les modèles, les tailles et les couleurs, savoir tout de suite si un article est encore disponible n'est pas toujours simple.
• Entrepôt et distribution : Quand la marchandise entre et sort tous les jours, garder un stock juste et savoir quoi recommander devient vite un travail à plein temps.
• Pharmacie : Avec autant de références, une rupture passe vite inaperçue, et un client qui ne trouve pas son produit va ailleurs.
• À vérifier : Quand la marchandise entre et sort tous les jours, garder un stock juste prend vite du temps.</t>
  </si>
  <si>
    <t xml:space="preserve">Message 2 (s'il répond) + vidéo du workflow</t>
  </si>
  <si>
    <t xml:space="preserve">Merci pour votre réponse 🙏
Voici ce qui se passe à l'intérieur du système, étape par étape (35 secondes) 👇
Je vous propose de vous le montrer avec vos propres produits, en appel vidéo WhatsApp de 15 minutes. Quel jour vous arrange cette semaine ?</t>
  </si>
  <si>
    <t xml:space="preserve">Relance 1 (jour 3)</t>
  </si>
  <si>
    <t xml:space="preserve">Bonjour [Nom], je reviens vers vous pour la petite vidéo envoyée il y a quelques jours. Le suivi du stock, c'est un sujet chez vous en ce moment ? Un simple oui ou non m'aide déjà 🙏</t>
  </si>
  <si>
    <t xml:space="preserve">Relance 2 (jour 7, la dernière)</t>
  </si>
  <si>
    <t xml:space="preserve">Bonjour [Nom], dernier message de ma part sur ce sujet. Si un jour vous voulez voir le système avec vos produits, répondez simplement « STOCK » et je vous le montre en 15 minutes. Bonne journée !</t>
  </si>
</sst>
</file>

<file path=xl/styles.xml><?xml version="1.0" encoding="utf-8"?>
<styleSheet xmlns="http://schemas.openxmlformats.org/spreadsheetml/2006/main">
  <numFmts count="4">
    <numFmt numFmtId="164" formatCode="General"/>
    <numFmt numFmtId="165" formatCode="0"/>
    <numFmt numFmtId="166" formatCode="0%"/>
    <numFmt numFmtId="167" formatCode="dd/mm/yyyy"/>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color rgb="FF1F3864"/>
      <name val="Arial"/>
      <family val="0"/>
      <charset val="1"/>
    </font>
    <font>
      <i val="true"/>
      <sz val="9"/>
      <color rgb="FF7F7F7F"/>
      <name val="Arial"/>
      <family val="0"/>
      <charset val="1"/>
    </font>
    <font>
      <b val="true"/>
      <sz val="15"/>
      <color rgb="FF1F3864"/>
      <name val="Arial"/>
      <family val="0"/>
      <charset val="1"/>
    </font>
    <font>
      <i val="true"/>
      <sz val="9"/>
      <color rgb="FF595959"/>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DEDED"/>
        <bgColor rgb="FFE7E6E6"/>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7" fontId="6" fillId="4" borderId="1"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7" fontId="6"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4B6B6"/>
          <bgColor rgb="FF000000"/>
        </patternFill>
      </fill>
    </dxf>
    <dxf>
      <fill>
        <patternFill patternType="solid">
          <fgColor rgb="FFFFEB9C"/>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EDEDED"/>
          <bgColor rgb="FF000000"/>
        </patternFill>
      </fill>
    </dxf>
    <dxf>
      <fill>
        <patternFill patternType="solid">
          <fgColor rgb="FF9C0006"/>
          <bgColor rgb="FF000000"/>
        </patternFill>
      </fill>
    </dxf>
    <dxf>
      <fill>
        <patternFill>
          <bgColor rgb="FFC6EFCE"/>
        </patternFill>
      </fill>
    </dxf>
    <dxf>
      <fill>
        <patternFill>
          <bgColor rgb="FFDDEBF7"/>
        </patternFill>
      </fill>
    </dxf>
    <dxf>
      <fill>
        <patternFill>
          <bgColor rgb="FFFFEB9C"/>
        </patternFill>
      </fill>
    </dxf>
    <dxf>
      <fill>
        <patternFill>
          <bgColor rgb="FFF4B6B6"/>
        </patternFill>
      </fill>
    </dxf>
    <dxf>
      <fill>
        <patternFill>
          <bgColor rgb="FFE7E6E6"/>
        </patternFill>
      </fill>
    </dxf>
    <dxf>
      <font>
        <name val="Arial"/>
        <charset val="1"/>
        <family val="0"/>
        <b val="1"/>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563C1"/>
      <rgbColor rgb="FFE7E6E6"/>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a.me/243821006430?text=Bonjour%20LOSAKO%20SHAP%20&#128075;%0A%0AJe%20suis%20Mike%2C%20d%27Allegra%20Digital%20Ground.%0A%0AAvec%20tous%20vos%20mod&#232;les%2C%20accessoires%20et%20pi&#232;ces%2C%20savoir%20exactement%20ce%20qu%27il%20reste%20en%20stock%20prend%20" TargetMode="External"/><Relationship Id="rId2" Type="http://schemas.openxmlformats.org/officeDocument/2006/relationships/hyperlink" Target="https://wa.me/243999912239?text=Bonjour%20ELECTRONIC%20STORE%20&#128075;%0A%0AJe%20suis%20Mike%2C%20d%27Allegra%20Digital%20Ground.%0A%0AAvec%20tous%20vos%20mod&#232;les%2C%20accessoires%20et%20pi&#232;ces%2C%20savoir%20exactement%20ce%20qu%27il%20reste%20en%20stock%20pre" TargetMode="External"/><Relationship Id="rId3" Type="http://schemas.openxmlformats.org/officeDocument/2006/relationships/hyperlink" Target="https://wa.me/243816812630?text=Bonjour%20MI%20KINSHASA%20&#128075;%0A%0AJe%20suis%20Mike%2C%20d%27Allegra%20Digital%20Ground.%0A%0AAvec%20tous%20vos%20mod&#232;les%2C%20accessoires%20et%20pi&#232;ces%2C%20savoir%20exactement%20ce%20qu%27il%20reste%20en%20stock%20prend%20" TargetMode="External"/><Relationship Id="rId4" Type="http://schemas.openxmlformats.org/officeDocument/2006/relationships/hyperlink" Target="https://wa.me/243902301721?text=Bonjour%20XIAOMI%20STORE%20KINSHASA%20&#128075;%0A%0AJe%20suis%20Mike%2C%20d%27Allegra%20Digital%20Ground.%0A%0AAvec%20tous%20vos%20mod&#232;les%2C%20accessoires%20et%20pi&#232;ces%2C%20savoir%20exactement%20ce%20qu%27il%20reste%20en%20stoc" TargetMode="External"/><Relationship Id="rId5" Type="http://schemas.openxmlformats.org/officeDocument/2006/relationships/hyperlink" Target="https://wa.me/243812662378?text=Bonjour%20MICROCONCEPT%20&#128075;%0A%0AJe%20suis%20Mike%2C%20d%27Allegra%20Digital%20Ground.%0A%0AAvec%20tous%20vos%20mod&#232;les%2C%20accessoires%20et%20pi&#232;ces%2C%20savoir%20exactement%20ce%20qu%27il%20reste%20en%20stock%20prend%20v" TargetMode="External"/><Relationship Id="rId6" Type="http://schemas.openxmlformats.org/officeDocument/2006/relationships/hyperlink" Target="https://wa.me/243811558008?text=Bonjour%20LNK%20AFRICA%202%20&#128075;%0A%0AJe%20suis%20Mike%2C%20d%27Allegra%20Digital%20Ground.%0A%0AAvec%20tous%20vos%20mod&#232;les%2C%20accessoires%20et%20pi&#232;ces%2C%20savoir%20exactement%20ce%20qu%27il%20reste%20en%20stock%20prend" TargetMode="External"/><Relationship Id="rId7" Type="http://schemas.openxmlformats.org/officeDocument/2006/relationships/hyperlink" Target="https://wa.me/243815682171?text=Bonjour%205G%20STORE%20&#128075;%0A%0AJe%20suis%20Mike%2C%20d%27Allegra%20Digital%20Ground.%0A%0AAvec%20tous%20vos%20mod&#232;les%2C%20accessoires%20et%20pi&#232;ces%2C%20savoir%20exactement%20ce%20qu%27il%20reste%20en%20stock%20prend%20vit" TargetMode="External"/><Relationship Id="rId8" Type="http://schemas.openxmlformats.org/officeDocument/2006/relationships/hyperlink" Target="https://wa.me/243906900600?text=Bonjour%20CLASS%20MOBILE%20&#128075;%0A%0AJe%20suis%20Mike%2C%20d%27Allegra%20Digital%20Ground.%0A%0AAvec%20tous%20vos%20mod&#232;les%2C%20accessoires%20et%20pi&#232;ces%2C%20savoir%20exactement%20ce%20qu%27il%20reste%20en%20stock%20prend%2" TargetMode="External"/><Relationship Id="rId9" Type="http://schemas.openxmlformats.org/officeDocument/2006/relationships/hyperlink" Target="https://wa.me/243854700000?text=Bonjour%20VIP%20INFORMATIQUE%20&#128075;%0A%0AJe%20suis%20Mike%2C%20d%27Allegra%20Digital%20Ground.%0A%0AAvec%20tous%20vos%20mod&#232;les%2C%20accessoires%20et%20pi&#232;ces%2C%20savoir%20exactement%20ce%20qu%27il%20reste%20en%20stock%20pre" TargetMode="External"/><Relationship Id="rId10" Type="http://schemas.openxmlformats.org/officeDocument/2006/relationships/hyperlink" Target="https://wa.me/243970278527?text=Bonjour%20SPACE-X%20COMPUTERS%20&#128075;%0A%0AJe%20suis%20Mike%2C%20d%27Allegra%20Digital%20Ground.%0A%0AAvec%20tous%20vos%20mod&#232;les%2C%20accessoires%20et%20pi&#232;ces%2C%20savoir%20exactement%20ce%20qu%27il%20reste%20en%20stock%20pr" TargetMode="External"/><Relationship Id="rId11" Type="http://schemas.openxmlformats.org/officeDocument/2006/relationships/hyperlink" Target="https://wa.me/243843295999?text=Bonjour%20BIBIN%20BUSINESS%20&#128075;%0A%0AJe%20suis%20Mike%2C%20d%27Allegra%20Digital%20Ground.%0A%0AAvec%20tous%20vos%20mod&#232;les%2C%20accessoires%20et%20pi&#232;ces%2C%20savoir%20exactement%20ce%20qu%27il%20reste%20en%20stock%20prend" TargetMode="External"/><Relationship Id="rId12" Type="http://schemas.openxmlformats.org/officeDocument/2006/relationships/hyperlink" Target="https://wa.me/243812626000?text=Bonjour%20BEST%20BUY%20CONGO%20SARL%20&#128075;%0A%0AJe%20suis%20Mike%2C%20d%27Allegra%20Digital%20Ground.%0A%0AAvec%20tous%20vos%20mod&#232;les%2C%20accessoires%20et%20pi&#232;ces%2C%20savoir%20exactement%20ce%20qu%27il%20reste%20en%20stoc" TargetMode="External"/><Relationship Id="rId13" Type="http://schemas.openxmlformats.org/officeDocument/2006/relationships/hyperlink" Target="https://wa.me/243975222660?text=Bonjour%20NOBLE%20ELECTRONIQUE%20&#128075;%0A%0AJe%20suis%20Mike%2C%20d%27Allegra%20Digital%20Ground.%0A%0AAvec%20tous%20vos%20mod&#232;les%2C%20accessoires%20et%20pi&#232;ces%2C%20savoir%20exactement%20ce%20qu%27il%20reste%20en%20stock%20p" TargetMode="External"/><Relationship Id="rId14" Type="http://schemas.openxmlformats.org/officeDocument/2006/relationships/hyperlink" Target="https://wa.me/243994797830?text=Bonjour%20DEALST%20&#128075;%0A%0AJe%20suis%20Mike%2C%20d%27Allegra%20Digital%20Ground.%0A%0AAvec%20tous%20vos%20mod&#232;les%2C%20accessoires%20et%20pi&#232;ces%2C%20savoir%20exactement%20ce%20qu%27il%20reste%20en%20stock%20prend%20vite%20" TargetMode="External"/><Relationship Id="rId15" Type="http://schemas.openxmlformats.org/officeDocument/2006/relationships/hyperlink" Target="https://wa.me/243832592599?text=Bonjour%20TIM%20SHOP%20&#128075;%0A%0AJe%20suis%20Mike%2C%20d%27Allegra%20Digital%20Ground.%0A%0AAvec%20tous%20vos%20mod&#232;les%2C%20accessoires%20et%20pi&#232;ces%2C%20savoir%20exactement%20ce%20qu%27il%20reste%20en%20stock%20prend%20vit" TargetMode="External"/><Relationship Id="rId16" Type="http://schemas.openxmlformats.org/officeDocument/2006/relationships/hyperlink" Target="https://wa.me/243850784589?text=Bonjour%20QUIN%20ELECTRO%20&#128075;%0A%0AJe%20suis%20Mike%2C%20d%27Allegra%20Digital%20Ground.%0A%0AAvec%20tous%20vos%20mod&#232;les%2C%20accessoires%20et%20pi&#232;ces%2C%20savoir%20exactement%20ce%20qu%27il%20reste%20en%20stock%20prend%2" TargetMode="External"/><Relationship Id="rId17" Type="http://schemas.openxmlformats.org/officeDocument/2006/relationships/hyperlink" Target="https://wa.me/243824486441?text=Bonjour%20ETS%20KORO%20ELECTRONIQUE%20&#128075;%0A%0AJe%20suis%20Mike%2C%20d%27Allegra%20Digital%20Ground.%0A%0AAvec%20tous%20vos%20mod&#232;les%2C%20accessoires%20et%20pi&#232;ces%2C%20savoir%20exactement%20ce%20qu%27il%20reste%20en%20stoc" TargetMode="External"/><Relationship Id="rId18" Type="http://schemas.openxmlformats.org/officeDocument/2006/relationships/hyperlink" Target="https://wa.me/243890027731?text=Bonjour%20VECOM%20SHOP%20&#128075;%0A%0AJe%20suis%20Mike%2C%20d%27Allegra%20Digital%20Ground.%0A%0AAvec%20tous%20vos%20mod&#232;les%2C%20accessoires%20et%20pi&#232;ces%2C%20savoir%20exactement%20ce%20qu%27il%20reste%20en%20stock%20prend%20v" TargetMode="External"/><Relationship Id="rId19" Type="http://schemas.openxmlformats.org/officeDocument/2006/relationships/hyperlink" Target="https://wa.me/243976935491?text=Bonjour%20GENI%20LOGICIEL%20&#128075;%0A%0AJe%20suis%20Mike%2C%20d%27Allegra%20Digital%20Ground.%0A%0AAvec%20tous%20vos%20mod&#232;les%2C%20accessoires%20et%20pi&#232;ces%2C%20savoir%20exactement%20ce%20qu%27il%20reste%20en%20stock%20prend%" TargetMode="External"/><Relationship Id="rId20" Type="http://schemas.openxmlformats.org/officeDocument/2006/relationships/hyperlink" Target="https://wa.me/243971828481?text=Bonjour%20ETS%20FORUM%20ELECTRONICS%20&#128075;%0A%0AJe%20suis%20Mike%2C%20d%27Allegra%20Digital%20Ground.%0A%0AAvec%20tous%20vos%20mod&#232;les%2C%20accessoires%20et%20pi&#232;ces%2C%20savoir%20exactement%20ce%20qu%27il%20reste%20en%20stoc" TargetMode="External"/><Relationship Id="rId21" Type="http://schemas.openxmlformats.org/officeDocument/2006/relationships/hyperlink" Target="https://wa.me/243846384444?text=Bonjour%20KLAMMSHOP%20BEAUTY%20SUPPLY%20&#128075;%0A%0AJe%20suis%20Mike%2C%20d%27Allegra%20Digital%20Ground.%0A%0AAvec%20autant%20de%20r&#233;f&#233;rences%2C%20il%20arrive%20qu%27un%20produit%20manque%20sans%20qu%27on%20l%27ait%20vu%20veni" TargetMode="External"/><Relationship Id="rId22" Type="http://schemas.openxmlformats.org/officeDocument/2006/relationships/hyperlink" Target="https://wa.me/243898278139?text=Bonjour%20BISOUS%20COSMETICS%20&#128075;%0A%0AJe%20suis%20Mike%2C%20d%27Allegra%20Digital%20Ground.%0A%0AAvec%20autant%20de%20r&#233;f&#233;rences%2C%20il%20arrive%20qu%27un%20produit%20manque%20sans%20qu%27on%20l%27ait%20vu%20venir%2C%20ou" TargetMode="External"/><Relationship Id="rId23" Type="http://schemas.openxmlformats.org/officeDocument/2006/relationships/hyperlink" Target="https://wa.me/243854554191?text=Bonjour%20EBUKA%20COSMETIQUE%20ET%20BIJOUX%20RDC%20&#128075;%0A%0AJe%20suis%20Mike%2C%20d%27Allegra%20Digital%20Ground.%0A%0AAvec%20autant%20de%20r&#233;f&#233;rences%2C%20il%20arrive%20qu%27un%20produit%20manque%20sans%20qu%27on%20l%27ait%" TargetMode="External"/><Relationship Id="rId24" Type="http://schemas.openxmlformats.org/officeDocument/2006/relationships/hyperlink" Target="https://wa.me/243975198369?text=Bonjour%20K%20LUXE%20PARFUMS%20ET%20COSMETIQUES%20&#128075;%0A%0AJe%20suis%20Mike%2C%20d%27Allegra%20Digital%20Ground.%0A%0AAvec%20autant%20de%20r&#233;f&#233;rences%2C%20il%20arrive%20qu%27un%20produit%20manque%20sans%20qu%27on%20l%27ait%2" TargetMode="External"/><Relationship Id="rId25" Type="http://schemas.openxmlformats.org/officeDocument/2006/relationships/hyperlink" Target="https://wa.me/243840198323?text=Bonjour%20JOSEPHA%20COSMETICS%20&#128075;%0A%0AJe%20suis%20Mike%2C%20d%27Allegra%20Digital%20Ground.%0A%0AAvec%20autant%20de%20r&#233;f&#233;rences%2C%20il%20arrive%20qu%27un%20produit%20manque%20sans%20qu%27on%20l%27ait%20vu%20venir%2C%20o" TargetMode="External"/><Relationship Id="rId26" Type="http://schemas.openxmlformats.org/officeDocument/2006/relationships/hyperlink" Target="https://wa.me/243815953082?text=Bonjour%20KYRA%20KINSHASA%20&#128075;%0A%0AJe%20suis%20Mike%2C%20d%27Allegra%20Digital%20Ground.%0A%0AAvec%20autant%20de%20r&#233;f&#233;rences%2C%20il%20arrive%20qu%27un%20produit%20manque%20sans%20qu%27on%20l%27ait%20vu%20venir%2C%20ou%20" TargetMode="External"/><Relationship Id="rId27" Type="http://schemas.openxmlformats.org/officeDocument/2006/relationships/hyperlink" Target="https://wa.me/243818966780?text=Bonjour%20BRICOKIN%20&#128075;%0A%0AJe%20suis%20Mike%2C%20d%27Allegra%20Digital%20Ground.%0A%0AAvec%20autant%20de%20r&#233;f&#233;rences%2C%20il%20arrive%20qu%27un%20produit%20manque%20sans%20qu%27on%20l%27ait%20vu%20venir%2C%20ou%20qu%27on" TargetMode="External"/><Relationship Id="rId28" Type="http://schemas.openxmlformats.org/officeDocument/2006/relationships/hyperlink" Target="https://wa.me/243826918127?text=Bonjour%20BORA%20COSMETIQUE%20&#128075;%0A%0AJe%20suis%20Mike%2C%20d%27Allegra%20Digital%20Ground.%0A%0AAvec%20autant%20de%20r&#233;f&#233;rences%2C%20il%20arrive%20qu%27un%20produit%20manque%20sans%20qu%27on%20l%27ait%20vu%20venir%2C%20ou%" TargetMode="External"/><Relationship Id="rId29" Type="http://schemas.openxmlformats.org/officeDocument/2006/relationships/hyperlink" Target="https://wa.me/243998885902?text=Bonjour%20KYRA%20LUBUMBASHI%20&#128075;%0A%0AJe%20suis%20Mike%2C%20d%27Allegra%20Digital%20Ground.%0A%0AAvec%20autant%20de%20r&#233;f&#233;rences%2C%20il%20arrive%20qu%27un%20produit%20manque%20sans%20qu%27on%20l%27ait%20vu%20venir%2C%20ou%" TargetMode="External"/><Relationship Id="rId30" Type="http://schemas.openxmlformats.org/officeDocument/2006/relationships/hyperlink" Target="https://wa.me/243811874359?text=Bonjour%20SHEILA%20COSMETICS%20GOLF%20&#128075;%0A%0AJe%20suis%20Mike%2C%20d%27Allegra%20Digital%20Ground.%0A%0AAvec%20autant%20de%20r&#233;f&#233;rences%2C%20il%20arrive%20qu%27un%20produit%20manque%20sans%20qu%27on%20l%27ait%20vu%20venir%" TargetMode="External"/><Relationship Id="rId31" Type="http://schemas.openxmlformats.org/officeDocument/2006/relationships/hyperlink" Target="https://wa.me/243976884155?text=Bonjour%20PARFUMERIE%20ARCHE%20DE%20DIEU%20&#128075;%0A%0AJe%20suis%20Mike%2C%20d%27Allegra%20Digital%20Ground.%0A%0AAvec%20autant%20de%20r&#233;f&#233;rences%2C%20il%20arrive%20qu%27un%20produit%20manque%20sans%20qu%27on%20l%27ait%20vu%20v" TargetMode="External"/><Relationship Id="rId32" Type="http://schemas.openxmlformats.org/officeDocument/2006/relationships/hyperlink" Target="https://wa.me/243998357214?text=Bonjour%20ENTREPRISE%20CPC%20&#128075;%0A%0AJe%20suis%20Mike%2C%20d%27Allegra%20Digital%20Ground.%0A%0ADans%20une%20quincaillerie%2C%20le%20stock%20co&#251;te%20cher.%20Savoir%20ce%20qu%27il%20reste%20et%20ce%20qu%27il%20vaut%2C%20sans" TargetMode="External"/><Relationship Id="rId33" Type="http://schemas.openxmlformats.org/officeDocument/2006/relationships/hyperlink" Target="https://wa.me/243843006054?text=Bonjour%20QUIN%20LEY%20SARLU%20&#128075;%0A%0AJe%20suis%20Mike%2C%20d%27Allegra%20Digital%20Ground.%0A%0ADans%20une%20quincaillerie%2C%20le%20stock%20co&#251;te%20cher.%20Savoir%20ce%20qu%27il%20reste%20et%20ce%20qu%27il%20vaut%2C%20sa" TargetMode="External"/><Relationship Id="rId34" Type="http://schemas.openxmlformats.org/officeDocument/2006/relationships/hyperlink" Target="https://wa.me/243907784433?text=Bonjour%20KYUMACO%20&#128075;%0A%0AJe%20suis%20Mike%2C%20d%27Allegra%20Digital%20Ground.%0A%0ADans%20une%20quincaillerie%2C%20le%20stock%20co&#251;te%20cher.%20Savoir%20ce%20qu%27il%20reste%20et%20ce%20qu%27il%20vaut%2C%20sans%20tout%2" TargetMode="External"/><Relationship Id="rId35" Type="http://schemas.openxmlformats.org/officeDocument/2006/relationships/hyperlink" Target="https://wa.me/243824130000?text=Bonjour%20QUINMAT%20&#128075;%0A%0AJe%20suis%20Mike%2C%20d%27Allegra%20Digital%20Ground.%0A%0ADans%20une%20quincaillerie%2C%20le%20stock%20co&#251;te%20cher.%20Savoir%20ce%20qu%27il%20reste%20et%20ce%20qu%27il%20vaut%2C%20sans%20tout%2" TargetMode="External"/><Relationship Id="rId36" Type="http://schemas.openxmlformats.org/officeDocument/2006/relationships/hyperlink" Target="https://wa.me/243816785109?text=Bonjour%20M%27SIRI%20QUINCAILLERIE%20%26%20DIVERS%20&#128075;%0A%0AJe%20suis%20Mike%2C%20d%27Allegra%20Digital%20Ground.%0A%0ADans%20une%20quincaillerie%2C%20le%20stock%20co&#251;te%20cher.%20Savoir%20ce%20qu%27il%20reste%20et%20ce%20q" TargetMode="External"/><Relationship Id="rId37" Type="http://schemas.openxmlformats.org/officeDocument/2006/relationships/hyperlink" Target="https://wa.me/905338353857?text=Bonjour%20PREDI%20B%20&#128075;%0A%0AJe%20suis%20Mike%2C%20d%27Allegra%20Digital%20Ground.%0A%0AAvec%20autant%20de%20r&#233;f&#233;rences%2C%20il%20arrive%20qu%27un%20produit%20manque%20sans%20qu%27on%20l%27ait%20vu%20venir%2C%20ou%20qu%27o" TargetMode="External"/><Relationship Id="rId38" Type="http://schemas.openxmlformats.org/officeDocument/2006/relationships/hyperlink" Target="https://wa.me/243903045773?text=Bonjour%20YAF%20YAF%20&#128075;%0A%0AJe%20suis%20Mike%2C%20d%27Allegra%20Digital%20Ground.%0A%0AEntre%20les%20mod&#232;les%2C%20les%20tailles%20et%20les%20couleurs%2C%20savoir%20tout%20de%20suite%20si%20un%20article%20est%20encore%20di" TargetMode="External"/><Relationship Id="rId39" Type="http://schemas.openxmlformats.org/officeDocument/2006/relationships/hyperlink" Target="https://wa.me/243848405000?text=Bonjour%20PERLUNA%20STORE%20&#128075;%0A%0AJe%20suis%20Mike%2C%20d%27Allegra%20Digital%20Ground.%0A%0AEntre%20les%20mod&#232;les%2C%20les%20tailles%20et%20les%20couleurs%2C%20savoir%20tout%20de%20suite%20si%20un%20article%20est%20encor" TargetMode="External"/><Relationship Id="rId40" Type="http://schemas.openxmlformats.org/officeDocument/2006/relationships/hyperlink" Target="https://wa.me/243856316267?text=Bonjour%20EGRA%20BOUTIQUE%20&#128075;%0A%0AJe%20suis%20Mike%2C%20d%27Allegra%20Digital%20Ground.%0A%0AEntre%20les%20mod&#232;les%2C%20les%20tailles%20et%20les%20couleurs%2C%20savoir%20tout%20de%20suite%20si%20un%20article%20est%20encor" TargetMode="External"/><Relationship Id="rId41" Type="http://schemas.openxmlformats.org/officeDocument/2006/relationships/hyperlink" Target="https://wa.me/243827812704?text=Bonjour%20SCHOLA%20BEAUTY%20AND%20SERVICE%20&#128075;%0A%0AJe%20suis%20Mike%2C%20d%27Allegra%20Digital%20Ground.%0A%0AEntre%20les%20mod&#232;les%2C%20les%20tailles%20et%20les%20couleurs%2C%20savoir%20tout%20de%20suite%20si%20un%20artic" TargetMode="External"/><Relationship Id="rId42" Type="http://schemas.openxmlformats.org/officeDocument/2006/relationships/hyperlink" Target="https://wa.me/243997408340?text=Bonjour%20AMICONGO%20LUBUMBASHI%20&#128075;%0A%0AJe%20suis%20Mike%2C%20d%27Allegra%20Digital%20Ground.%0A%0AQuand%20la%20marchandise%20entre%20et%20sort%20tous%20les%20jours%2C%20garder%20un%20stock%20juste%20et%20savoir%20quoi%20" TargetMode="External"/><Relationship Id="rId43" Type="http://schemas.openxmlformats.org/officeDocument/2006/relationships/hyperlink" Target="https://wa.me/243997024727?text=Bonjour%20ETS%20TROPICAL%20PRODUCTS%20&#128075;%0A%0AJe%20suis%20Mike%2C%20d%27Allegra%20Digital%20Ground.%0A%0AQuand%20la%20marchandise%20entre%20et%20sort%20tous%20les%20jours%2C%20garder%20un%20stock%20juste%20et%20savoir%20quo" TargetMode="External"/><Relationship Id="rId44" Type="http://schemas.openxmlformats.org/officeDocument/2006/relationships/hyperlink" Target="https://wa.me/243856152457?text=Bonjour%20KEMBEZI%20PHARMA%20CARE%20&#128075;%0A%0AJe%20suis%20Mike%2C%20d%27Allegra%20Digital%20Ground.%0A%0AAvec%20autant%20de%20r&#233;f&#233;rences%2C%20une%20rupture%20passe%20vite%20inaper&#231;ue%2C%20et%20un%20client%20qui%20ne%20trouve%" TargetMode="External"/><Relationship Id="rId45" Type="http://schemas.openxmlformats.org/officeDocument/2006/relationships/hyperlink" Target="https://wa.me/243818151111?text=Bonjour%20ZOTTOSPHARMA%20&#128075;%0A%0AJe%20suis%20Mike%2C%20d%27Allegra%20Digital%20Ground.%0A%0AAvec%20autant%20de%20r&#233;f&#233;rences%2C%20une%20rupture%20passe%20vite%20inaper&#231;ue%2C%20et%20un%20client%20qui%20ne%20trouve%20pas%20son" TargetMode="External"/><Relationship Id="rId46" Type="http://schemas.openxmlformats.org/officeDocument/2006/relationships/hyperlink" Target="https://wa.me/243999273585?text=Bonjour%20BETA%20CONSTRUCTION%20&#128075;%0A%0AJe%20suis%20Mike%2C%20d%27Allegra%20Digital%20Ground.%0A%0AQuand%20la%20marchandise%20entre%20et%20sort%20tous%20les%20jours%2C%20garder%20un%20stock%20juste%20prend%20vite%20du%20tem" TargetMode="External"/><Relationship Id="rId47" Type="http://schemas.openxmlformats.org/officeDocument/2006/relationships/hyperlink" Target="https://wa.me/243997169422?text=Bonjour%20EAUCIEL%20&#128075;%0A%0AJe%20suis%20Mike%2C%20d%27Allegra%20Digital%20Ground.%0A%0AQuand%20la%20marchandise%20entre%20et%20sort%20tous%20les%20jours%2C%20garder%20un%20stock%20juste%20prend%20vite%20du%20temps.%0A%0AOn%" TargetMode="External"/><Relationship Id="rId4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7" min="3" style="0" width="12"/>
  </cols>
  <sheetData>
    <row r="1" customFormat="false" ht="19.7" hidden="false" customHeight="false" outlineLevel="0" collapsed="false">
      <c r="B1" s="1" t="s">
        <v>0</v>
      </c>
    </row>
    <row r="3" customFormat="false" ht="15" hidden="false" customHeight="false" outlineLevel="0" collapsed="false">
      <c r="B3" s="2" t="s">
        <v>1</v>
      </c>
      <c r="C3" s="2" t="s">
        <v>2</v>
      </c>
      <c r="D3" s="2" t="s">
        <v>3</v>
      </c>
      <c r="E3" s="2" t="s">
        <v>4</v>
      </c>
      <c r="F3" s="2" t="s">
        <v>5</v>
      </c>
    </row>
    <row r="4" customFormat="false" ht="15" hidden="false" customHeight="false" outlineLevel="0" collapsed="false">
      <c r="B4" s="3" t="s">
        <v>6</v>
      </c>
      <c r="C4" s="3" t="n">
        <f aca="false">COUNTIF(Prospects!$K$5:$K$51,B4)</f>
        <v>47</v>
      </c>
      <c r="D4" s="3" t="n">
        <f aca="false">COUNTIFS(Prospects!$K$5:$K$51,$B4,Prospects!$B$5:$B$51,1)</f>
        <v>20</v>
      </c>
      <c r="E4" s="3" t="n">
        <f aca="false">COUNTIFS(Prospects!$K$5:$K$51,$B4,Prospects!$B$5:$B$51,2)</f>
        <v>16</v>
      </c>
      <c r="F4" s="3" t="n">
        <f aca="false">COUNTIFS(Prospects!$K$5:$K$51,$B4,Prospects!$B$5:$B$51,3)</f>
        <v>11</v>
      </c>
    </row>
    <row r="5" customFormat="false" ht="15" hidden="false" customHeight="false" outlineLevel="0" collapsed="false">
      <c r="B5" s="3" t="s">
        <v>7</v>
      </c>
      <c r="C5" s="3" t="n">
        <f aca="false">COUNTIF(Prospects!$K$5:$K$51,B5)</f>
        <v>0</v>
      </c>
      <c r="D5" s="3" t="n">
        <f aca="false">COUNTIFS(Prospects!$K$5:$K$51,$B5,Prospects!$B$5:$B$51,1)</f>
        <v>0</v>
      </c>
      <c r="E5" s="3" t="n">
        <f aca="false">COUNTIFS(Prospects!$K$5:$K$51,$B5,Prospects!$B$5:$B$51,2)</f>
        <v>0</v>
      </c>
      <c r="F5" s="3" t="n">
        <f aca="false">COUNTIFS(Prospects!$K$5:$K$51,$B5,Prospects!$B$5:$B$51,3)</f>
        <v>0</v>
      </c>
    </row>
    <row r="6" customFormat="false" ht="15" hidden="false" customHeight="false" outlineLevel="0" collapsed="false">
      <c r="B6" s="3" t="s">
        <v>8</v>
      </c>
      <c r="C6" s="3" t="n">
        <f aca="false">COUNTIF(Prospects!$K$5:$K$51,B6)</f>
        <v>0</v>
      </c>
      <c r="D6" s="3" t="n">
        <f aca="false">COUNTIFS(Prospects!$K$5:$K$51,$B6,Prospects!$B$5:$B$51,1)</f>
        <v>0</v>
      </c>
      <c r="E6" s="3" t="n">
        <f aca="false">COUNTIFS(Prospects!$K$5:$K$51,$B6,Prospects!$B$5:$B$51,2)</f>
        <v>0</v>
      </c>
      <c r="F6" s="3" t="n">
        <f aca="false">COUNTIFS(Prospects!$K$5:$K$51,$B6,Prospects!$B$5:$B$51,3)</f>
        <v>0</v>
      </c>
    </row>
    <row r="7" customFormat="false" ht="15" hidden="false" customHeight="false" outlineLevel="0" collapsed="false">
      <c r="B7" s="3" t="s">
        <v>9</v>
      </c>
      <c r="C7" s="3" t="n">
        <f aca="false">COUNTIF(Prospects!$K$5:$K$51,B7)</f>
        <v>0</v>
      </c>
      <c r="D7" s="3" t="n">
        <f aca="false">COUNTIFS(Prospects!$K$5:$K$51,$B7,Prospects!$B$5:$B$51,1)</f>
        <v>0</v>
      </c>
      <c r="E7" s="3" t="n">
        <f aca="false">COUNTIFS(Prospects!$K$5:$K$51,$B7,Prospects!$B$5:$B$51,2)</f>
        <v>0</v>
      </c>
      <c r="F7" s="3" t="n">
        <f aca="false">COUNTIFS(Prospects!$K$5:$K$51,$B7,Prospects!$B$5:$B$51,3)</f>
        <v>0</v>
      </c>
    </row>
    <row r="8" customFormat="false" ht="15" hidden="false" customHeight="false" outlineLevel="0" collapsed="false">
      <c r="B8" s="3" t="s">
        <v>10</v>
      </c>
      <c r="C8" s="3" t="n">
        <f aca="false">COUNTIF(Prospects!$K$5:$K$51,B8)</f>
        <v>0</v>
      </c>
      <c r="D8" s="3" t="n">
        <f aca="false">COUNTIFS(Prospects!$K$5:$K$51,$B8,Prospects!$B$5:$B$51,1)</f>
        <v>0</v>
      </c>
      <c r="E8" s="3" t="n">
        <f aca="false">COUNTIFS(Prospects!$K$5:$K$51,$B8,Prospects!$B$5:$B$51,2)</f>
        <v>0</v>
      </c>
      <c r="F8" s="3" t="n">
        <f aca="false">COUNTIFS(Prospects!$K$5:$K$51,$B8,Prospects!$B$5:$B$51,3)</f>
        <v>0</v>
      </c>
    </row>
    <row r="9" customFormat="false" ht="15" hidden="false" customHeight="false" outlineLevel="0" collapsed="false">
      <c r="B9" s="3" t="s">
        <v>11</v>
      </c>
      <c r="C9" s="3" t="n">
        <f aca="false">COUNTIF(Prospects!$K$5:$K$51,B9)</f>
        <v>0</v>
      </c>
      <c r="D9" s="3" t="n">
        <f aca="false">COUNTIFS(Prospects!$K$5:$K$51,$B9,Prospects!$B$5:$B$51,1)</f>
        <v>0</v>
      </c>
      <c r="E9" s="3" t="n">
        <f aca="false">COUNTIFS(Prospects!$K$5:$K$51,$B9,Prospects!$B$5:$B$51,2)</f>
        <v>0</v>
      </c>
      <c r="F9" s="3" t="n">
        <f aca="false">COUNTIFS(Prospects!$K$5:$K$51,$B9,Prospects!$B$5:$B$51,3)</f>
        <v>0</v>
      </c>
    </row>
    <row r="10" customFormat="false" ht="15" hidden="false" customHeight="false" outlineLevel="0" collapsed="false">
      <c r="B10" s="3" t="s">
        <v>12</v>
      </c>
      <c r="C10" s="3" t="n">
        <f aca="false">COUNTIF(Prospects!$K$5:$K$51,B10)</f>
        <v>0</v>
      </c>
      <c r="D10" s="3" t="n">
        <f aca="false">COUNTIFS(Prospects!$K$5:$K$51,$B10,Prospects!$B$5:$B$51,1)</f>
        <v>0</v>
      </c>
      <c r="E10" s="3" t="n">
        <f aca="false">COUNTIFS(Prospects!$K$5:$K$51,$B10,Prospects!$B$5:$B$51,2)</f>
        <v>0</v>
      </c>
      <c r="F10" s="3" t="n">
        <f aca="false">COUNTIFS(Prospects!$K$5:$K$51,$B10,Prospects!$B$5:$B$51,3)</f>
        <v>0</v>
      </c>
    </row>
    <row r="11" customFormat="false" ht="15" hidden="false" customHeight="false" outlineLevel="0" collapsed="false">
      <c r="B11" s="3" t="s">
        <v>13</v>
      </c>
      <c r="C11" s="3" t="n">
        <f aca="false">COUNTIF(Prospects!$K$5:$K$51,B11)</f>
        <v>0</v>
      </c>
      <c r="D11" s="3" t="n">
        <f aca="false">COUNTIFS(Prospects!$K$5:$K$51,$B11,Prospects!$B$5:$B$51,1)</f>
        <v>0</v>
      </c>
      <c r="E11" s="3" t="n">
        <f aca="false">COUNTIFS(Prospects!$K$5:$K$51,$B11,Prospects!$B$5:$B$51,2)</f>
        <v>0</v>
      </c>
      <c r="F11" s="3" t="n">
        <f aca="false">COUNTIFS(Prospects!$K$5:$K$51,$B11,Prospects!$B$5:$B$51,3)</f>
        <v>0</v>
      </c>
    </row>
    <row r="12" customFormat="false" ht="15" hidden="false" customHeight="false" outlineLevel="0" collapsed="false">
      <c r="B12" s="3" t="s">
        <v>14</v>
      </c>
      <c r="C12" s="3" t="n">
        <f aca="false">COUNTIF(Prospects!$K$5:$K$51,B12)</f>
        <v>0</v>
      </c>
      <c r="D12" s="3" t="n">
        <f aca="false">COUNTIFS(Prospects!$K$5:$K$51,$B12,Prospects!$B$5:$B$51,1)</f>
        <v>0</v>
      </c>
      <c r="E12" s="3" t="n">
        <f aca="false">COUNTIFS(Prospects!$K$5:$K$51,$B12,Prospects!$B$5:$B$51,2)</f>
        <v>0</v>
      </c>
      <c r="F12" s="3" t="n">
        <f aca="false">COUNTIFS(Prospects!$K$5:$K$51,$B12,Prospects!$B$5:$B$51,3)</f>
        <v>0</v>
      </c>
    </row>
    <row r="13" customFormat="false" ht="15" hidden="false" customHeight="false" outlineLevel="0" collapsed="false">
      <c r="B13" s="3" t="s">
        <v>15</v>
      </c>
      <c r="C13" s="3" t="n">
        <f aca="false">COUNTIF(Prospects!$K$5:$K$51,B13)</f>
        <v>0</v>
      </c>
      <c r="D13" s="3" t="n">
        <f aca="false">COUNTIFS(Prospects!$K$5:$K$51,$B13,Prospects!$B$5:$B$51,1)</f>
        <v>0</v>
      </c>
      <c r="E13" s="3" t="n">
        <f aca="false">COUNTIFS(Prospects!$K$5:$K$51,$B13,Prospects!$B$5:$B$51,2)</f>
        <v>0</v>
      </c>
      <c r="F13" s="3" t="n">
        <f aca="false">COUNTIFS(Prospects!$K$5:$K$51,$B13,Prospects!$B$5:$B$51,3)</f>
        <v>0</v>
      </c>
    </row>
    <row r="14" customFormat="false" ht="15" hidden="false" customHeight="false" outlineLevel="0" collapsed="false">
      <c r="B14" s="4" t="s">
        <v>2</v>
      </c>
      <c r="C14" s="4" t="n">
        <f aca="false">SUM(C4:C13)</f>
        <v>47</v>
      </c>
    </row>
    <row r="16" customFormat="false" ht="15" hidden="false" customHeight="false" outlineLevel="0" collapsed="false">
      <c r="B16" s="5" t="s">
        <v>16</v>
      </c>
    </row>
    <row r="17" customFormat="false" ht="15" hidden="false" customHeight="false" outlineLevel="0" collapsed="false">
      <c r="B17" s="3" t="s">
        <v>17</v>
      </c>
      <c r="C17" s="6" t="n">
        <f aca="false">C14-C4</f>
        <v>0</v>
      </c>
    </row>
    <row r="18" customFormat="false" ht="15" hidden="false" customHeight="false" outlineLevel="0" collapsed="false">
      <c r="B18" s="3" t="s">
        <v>18</v>
      </c>
      <c r="C18" s="6" t="n">
        <f aca="false">C8+C9+C10+C11</f>
        <v>0</v>
      </c>
    </row>
    <row r="19" customFormat="false" ht="15" hidden="false" customHeight="false" outlineLevel="0" collapsed="false">
      <c r="B19" s="3" t="s">
        <v>19</v>
      </c>
      <c r="C19" s="7" t="str">
        <f aca="false">IF(C17=0,"-",C18/C17)</f>
        <v>-</v>
      </c>
    </row>
    <row r="20" customFormat="false" ht="15" hidden="false" customHeight="false" outlineLevel="0" collapsed="false">
      <c r="B20" s="3" t="s">
        <v>20</v>
      </c>
      <c r="C20" s="6" t="n">
        <f aca="false">C10+C11</f>
        <v>0</v>
      </c>
    </row>
    <row r="21" customFormat="false" ht="15" hidden="false" customHeight="false" outlineLevel="0" collapsed="false">
      <c r="B21" s="3" t="s">
        <v>21</v>
      </c>
      <c r="C21" s="6" t="n">
        <f aca="false">C11</f>
        <v>0</v>
      </c>
    </row>
    <row r="23" customFormat="false" ht="15" hidden="false" customHeight="false" outlineLevel="0" collapsed="false">
      <c r="B23" s="8"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8"/>
    <col collapsed="false" customWidth="true" hidden="false" outlineLevel="0" max="4" min="4" style="0" width="30"/>
    <col collapsed="false" customWidth="true" hidden="false" outlineLevel="0" max="5" min="5" style="0" width="12"/>
    <col collapsed="false" customWidth="true" hidden="false" outlineLevel="0" max="6" min="6" style="0" width="18"/>
    <col collapsed="false" customWidth="true" hidden="false" outlineLevel="0" max="7" min="7" style="0" width="16"/>
    <col collapsed="false" customWidth="true" hidden="false" outlineLevel="0" max="8" min="8" style="0" width="22"/>
    <col collapsed="false" customWidth="true" hidden="false" outlineLevel="0" max="9" min="9" style="0" width="26"/>
    <col collapsed="false" customWidth="true" hidden="false" outlineLevel="0" max="10" min="10" style="0" width="13"/>
    <col collapsed="false" customWidth="true" hidden="false" outlineLevel="0" max="11" min="11" style="0" width="16"/>
    <col collapsed="false" customWidth="true" hidden="false" outlineLevel="0" max="13" min="12" style="0" width="12"/>
    <col collapsed="false" customWidth="true" hidden="false" outlineLevel="0" max="14" min="14" style="0" width="30"/>
    <col collapsed="false" customWidth="true" hidden="false" outlineLevel="0" max="15" min="15" style="0" width="36"/>
    <col collapsed="false" customWidth="true" hidden="false" outlineLevel="0" max="16" min="16" style="0" width="44"/>
  </cols>
  <sheetData>
    <row r="1" customFormat="false" ht="18.55" hidden="false" customHeight="false" outlineLevel="0" collapsed="false">
      <c r="A1" s="9" t="s">
        <v>23</v>
      </c>
    </row>
    <row r="2" customFormat="false" ht="15" hidden="false" customHeight="false" outlineLevel="0" collapsed="false">
      <c r="A2" s="10" t="s">
        <v>24</v>
      </c>
    </row>
    <row r="4" customFormat="false" ht="30" hidden="false" customHeight="true" outlineLevel="0" collapsed="false">
      <c r="A4" s="11" t="s">
        <v>25</v>
      </c>
      <c r="B4" s="11" t="s">
        <v>26</v>
      </c>
      <c r="C4" s="11" t="s">
        <v>27</v>
      </c>
      <c r="D4" s="11" t="s">
        <v>28</v>
      </c>
      <c r="E4" s="11" t="s">
        <v>29</v>
      </c>
      <c r="F4" s="11" t="s">
        <v>30</v>
      </c>
      <c r="G4" s="11" t="s">
        <v>31</v>
      </c>
      <c r="H4" s="11" t="s">
        <v>32</v>
      </c>
      <c r="I4" s="11" t="s">
        <v>33</v>
      </c>
      <c r="J4" s="11" t="s">
        <v>34</v>
      </c>
      <c r="K4" s="11" t="s">
        <v>1</v>
      </c>
      <c r="L4" s="11" t="s">
        <v>35</v>
      </c>
      <c r="M4" s="11" t="s">
        <v>36</v>
      </c>
      <c r="N4" s="11" t="s">
        <v>37</v>
      </c>
      <c r="O4" s="11" t="s">
        <v>38</v>
      </c>
      <c r="P4" s="11" t="s">
        <v>39</v>
      </c>
    </row>
    <row r="5" customFormat="false" ht="23.85" hidden="false" customHeight="false" outlineLevel="0" collapsed="false">
      <c r="A5" s="12" t="n">
        <v>5</v>
      </c>
      <c r="B5" s="12" t="n">
        <v>1</v>
      </c>
      <c r="C5" s="12" t="s">
        <v>40</v>
      </c>
      <c r="D5" s="13" t="s">
        <v>41</v>
      </c>
      <c r="E5" s="13" t="s">
        <v>42</v>
      </c>
      <c r="F5" s="13" t="s">
        <v>43</v>
      </c>
      <c r="G5" s="14" t="s">
        <v>44</v>
      </c>
      <c r="H5" s="13" t="s">
        <v>45</v>
      </c>
      <c r="I5" s="13" t="s">
        <v>46</v>
      </c>
      <c r="J5" s="15"/>
      <c r="K5" s="16" t="s">
        <v>6</v>
      </c>
      <c r="L5" s="17" t="str">
        <f aca="false">IF(J5="","",J5+3)</f>
        <v/>
      </c>
      <c r="M5" s="17" t="str">
        <f aca="false">IF(J5="","",J5+7)</f>
        <v/>
      </c>
      <c r="N5" s="18" t="str">
        <f aca="true">IF(K5="À contacter","Envoyer message 1 + vidéo présentation",IF(K5="Message envoyé",IF(J5="","Indiquer la date d'envoi",IF(TODAY()&gt;=J5+3,"Envoyer la relance 1","Attendre la réponse")),IF(K5="Relance 1 faite",IF(TODAY()&gt;=J5+7,"Envoyer la relance 2","Attendre la réponse"),IF(K5="Relance 2 faite","Si rien sous 3 jours : Sans réponse",IF(K5="A répondu","Envoyer message 2 + vidéo workflow",IF(K5="Démo prévue","Préparer la démo avec ses produits",IF(K5="Démo faite","Envoyer l'offre et le prix",IF(K5="Client","Installer et demander un avis","Fini"))))))))</f>
        <v>Envoyer message 1 + vidéo présentation</v>
      </c>
      <c r="O5" s="19"/>
      <c r="P5" s="20"/>
    </row>
    <row r="6" customFormat="false" ht="23.85" hidden="false" customHeight="false" outlineLevel="0" collapsed="false">
      <c r="A6" s="12" t="n">
        <v>37</v>
      </c>
      <c r="B6" s="12" t="n">
        <v>1</v>
      </c>
      <c r="C6" s="12" t="s">
        <v>40</v>
      </c>
      <c r="D6" s="13" t="s">
        <v>47</v>
      </c>
      <c r="E6" s="13" t="s">
        <v>42</v>
      </c>
      <c r="F6" s="13" t="s">
        <v>48</v>
      </c>
      <c r="G6" s="14" t="s">
        <v>44</v>
      </c>
      <c r="H6" s="13" t="s">
        <v>49</v>
      </c>
      <c r="I6" s="13" t="s">
        <v>46</v>
      </c>
      <c r="J6" s="15"/>
      <c r="K6" s="16" t="s">
        <v>6</v>
      </c>
      <c r="L6" s="17" t="str">
        <f aca="false">IF(J6="","",J6+3)</f>
        <v/>
      </c>
      <c r="M6" s="17" t="str">
        <f aca="false">IF(J6="","",J6+7)</f>
        <v/>
      </c>
      <c r="N6" s="18" t="str">
        <f aca="true">IF(K6="À contacter","Envoyer message 1 + vidéo présentation",IF(K6="Message envoyé",IF(J6="","Indiquer la date d'envoi",IF(TODAY()&gt;=J6+3,"Envoyer la relance 1","Attendre la réponse")),IF(K6="Relance 1 faite",IF(TODAY()&gt;=J6+7,"Envoyer la relance 2","Attendre la réponse"),IF(K6="Relance 2 faite","Si rien sous 3 jours : Sans réponse",IF(K6="A répondu","Envoyer message 2 + vidéo workflow",IF(K6="Démo prévue","Préparer la démo avec ses produits",IF(K6="Démo faite","Envoyer l'offre et le prix",IF(K6="Client","Installer et demander un avis","Fini"))))))))</f>
        <v>Envoyer message 1 + vidéo présentation</v>
      </c>
      <c r="O6" s="19"/>
      <c r="P6" s="20" t="s">
        <v>50</v>
      </c>
    </row>
    <row r="7" customFormat="false" ht="23.85" hidden="false" customHeight="false" outlineLevel="0" collapsed="false">
      <c r="A7" s="12" t="n">
        <v>38</v>
      </c>
      <c r="B7" s="12" t="n">
        <v>1</v>
      </c>
      <c r="C7" s="12" t="s">
        <v>40</v>
      </c>
      <c r="D7" s="13" t="s">
        <v>51</v>
      </c>
      <c r="E7" s="13" t="s">
        <v>42</v>
      </c>
      <c r="F7" s="13" t="s">
        <v>52</v>
      </c>
      <c r="G7" s="14" t="s">
        <v>44</v>
      </c>
      <c r="H7" s="13" t="s">
        <v>45</v>
      </c>
      <c r="I7" s="13" t="s">
        <v>46</v>
      </c>
      <c r="J7" s="15"/>
      <c r="K7" s="16" t="s">
        <v>6</v>
      </c>
      <c r="L7" s="17" t="str">
        <f aca="false">IF(J7="","",J7+3)</f>
        <v/>
      </c>
      <c r="M7" s="17" t="str">
        <f aca="false">IF(J7="","",J7+7)</f>
        <v/>
      </c>
      <c r="N7" s="18" t="str">
        <f aca="true">IF(K7="À contacter","Envoyer message 1 + vidéo présentation",IF(K7="Message envoyé",IF(J7="","Indiquer la date d'envoi",IF(TODAY()&gt;=J7+3,"Envoyer la relance 1","Attendre la réponse")),IF(K7="Relance 1 faite",IF(TODAY()&gt;=J7+7,"Envoyer la relance 2","Attendre la réponse"),IF(K7="Relance 2 faite","Si rien sous 3 jours : Sans réponse",IF(K7="A répondu","Envoyer message 2 + vidéo workflow",IF(K7="Démo prévue","Préparer la démo avec ses produits",IF(K7="Démo faite","Envoyer l'offre et le prix",IF(K7="Client","Installer et demander un avis","Fini"))))))))</f>
        <v>Envoyer message 1 + vidéo présentation</v>
      </c>
      <c r="O7" s="19"/>
      <c r="P7" s="20"/>
    </row>
    <row r="8" customFormat="false" ht="23.85" hidden="false" customHeight="false" outlineLevel="0" collapsed="false">
      <c r="A8" s="12" t="n">
        <v>39</v>
      </c>
      <c r="B8" s="12" t="n">
        <v>1</v>
      </c>
      <c r="C8" s="12" t="s">
        <v>40</v>
      </c>
      <c r="D8" s="13" t="s">
        <v>53</v>
      </c>
      <c r="E8" s="13" t="s">
        <v>42</v>
      </c>
      <c r="F8" s="13" t="s">
        <v>54</v>
      </c>
      <c r="G8" s="14" t="s">
        <v>44</v>
      </c>
      <c r="H8" s="13" t="s">
        <v>45</v>
      </c>
      <c r="I8" s="13" t="s">
        <v>46</v>
      </c>
      <c r="J8" s="15"/>
      <c r="K8" s="16" t="s">
        <v>6</v>
      </c>
      <c r="L8" s="17" t="str">
        <f aca="false">IF(J8="","",J8+3)</f>
        <v/>
      </c>
      <c r="M8" s="17" t="str">
        <f aca="false">IF(J8="","",J8+7)</f>
        <v/>
      </c>
      <c r="N8" s="18" t="str">
        <f aca="true">IF(K8="À contacter","Envoyer message 1 + vidéo présentation",IF(K8="Message envoyé",IF(J8="","Indiquer la date d'envoi",IF(TODAY()&gt;=J8+3,"Envoyer la relance 1","Attendre la réponse")),IF(K8="Relance 1 faite",IF(TODAY()&gt;=J8+7,"Envoyer la relance 2","Attendre la réponse"),IF(K8="Relance 2 faite","Si rien sous 3 jours : Sans réponse",IF(K8="A répondu","Envoyer message 2 + vidéo workflow",IF(K8="Démo prévue","Préparer la démo avec ses produits",IF(K8="Démo faite","Envoyer l'offre et le prix",IF(K8="Client","Installer et demander un avis","Fini"))))))))</f>
        <v>Envoyer message 1 + vidéo présentation</v>
      </c>
      <c r="O8" s="19"/>
      <c r="P8" s="20" t="s">
        <v>55</v>
      </c>
    </row>
    <row r="9" customFormat="false" ht="23.85" hidden="false" customHeight="false" outlineLevel="0" collapsed="false">
      <c r="A9" s="12" t="n">
        <v>40</v>
      </c>
      <c r="B9" s="12" t="n">
        <v>1</v>
      </c>
      <c r="C9" s="12" t="s">
        <v>40</v>
      </c>
      <c r="D9" s="13" t="s">
        <v>56</v>
      </c>
      <c r="E9" s="13" t="s">
        <v>42</v>
      </c>
      <c r="F9" s="13" t="s">
        <v>57</v>
      </c>
      <c r="G9" s="14" t="s">
        <v>44</v>
      </c>
      <c r="H9" s="13" t="s">
        <v>49</v>
      </c>
      <c r="I9" s="13" t="s">
        <v>46</v>
      </c>
      <c r="J9" s="15"/>
      <c r="K9" s="16" t="s">
        <v>6</v>
      </c>
      <c r="L9" s="17" t="str">
        <f aca="false">IF(J9="","",J9+3)</f>
        <v/>
      </c>
      <c r="M9" s="17" t="str">
        <f aca="false">IF(J9="","",J9+7)</f>
        <v/>
      </c>
      <c r="N9" s="18" t="str">
        <f aca="true">IF(K9="À contacter","Envoyer message 1 + vidéo présentation",IF(K9="Message envoyé",IF(J9="","Indiquer la date d'envoi",IF(TODAY()&gt;=J9+3,"Envoyer la relance 1","Attendre la réponse")),IF(K9="Relance 1 faite",IF(TODAY()&gt;=J9+7,"Envoyer la relance 2","Attendre la réponse"),IF(K9="Relance 2 faite","Si rien sous 3 jours : Sans réponse",IF(K9="A répondu","Envoyer message 2 + vidéo workflow",IF(K9="Démo prévue","Préparer la démo avec ses produits",IF(K9="Démo faite","Envoyer l'offre et le prix",IF(K9="Client","Installer et demander un avis","Fini"))))))))</f>
        <v>Envoyer message 1 + vidéo présentation</v>
      </c>
      <c r="O9" s="19"/>
      <c r="P9" s="20"/>
    </row>
    <row r="10" customFormat="false" ht="23.85" hidden="false" customHeight="false" outlineLevel="0" collapsed="false">
      <c r="A10" s="12" t="n">
        <v>41</v>
      </c>
      <c r="B10" s="12" t="n">
        <v>1</v>
      </c>
      <c r="C10" s="12" t="s">
        <v>40</v>
      </c>
      <c r="D10" s="13" t="s">
        <v>58</v>
      </c>
      <c r="E10" s="13" t="s">
        <v>42</v>
      </c>
      <c r="F10" s="13" t="s">
        <v>59</v>
      </c>
      <c r="G10" s="14" t="s">
        <v>44</v>
      </c>
      <c r="H10" s="13" t="s">
        <v>49</v>
      </c>
      <c r="I10" s="13" t="s">
        <v>46</v>
      </c>
      <c r="J10" s="15"/>
      <c r="K10" s="16" t="s">
        <v>6</v>
      </c>
      <c r="L10" s="17" t="str">
        <f aca="false">IF(J10="","",J10+3)</f>
        <v/>
      </c>
      <c r="M10" s="17" t="str">
        <f aca="false">IF(J10="","",J10+7)</f>
        <v/>
      </c>
      <c r="N10" s="18" t="str">
        <f aca="true">IF(K10="À contacter","Envoyer message 1 + vidéo présentation",IF(K10="Message envoyé",IF(J10="","Indiquer la date d'envoi",IF(TODAY()&gt;=J10+3,"Envoyer la relance 1","Attendre la réponse")),IF(K10="Relance 1 faite",IF(TODAY()&gt;=J10+7,"Envoyer la relance 2","Attendre la réponse"),IF(K10="Relance 2 faite","Si rien sous 3 jours : Sans réponse",IF(K10="A répondu","Envoyer message 2 + vidéo workflow",IF(K10="Démo prévue","Préparer la démo avec ses produits",IF(K10="Démo faite","Envoyer l'offre et le prix",IF(K10="Client","Installer et demander un avis","Fini"))))))))</f>
        <v>Envoyer message 1 + vidéo présentation</v>
      </c>
      <c r="O10" s="19"/>
      <c r="P10" s="20"/>
    </row>
    <row r="11" customFormat="false" ht="23.85" hidden="false" customHeight="false" outlineLevel="0" collapsed="false">
      <c r="A11" s="12" t="n">
        <v>10</v>
      </c>
      <c r="B11" s="12" t="n">
        <v>1</v>
      </c>
      <c r="C11" s="12" t="s">
        <v>40</v>
      </c>
      <c r="D11" s="13" t="s">
        <v>60</v>
      </c>
      <c r="E11" s="13" t="s">
        <v>61</v>
      </c>
      <c r="F11" s="13" t="s">
        <v>62</v>
      </c>
      <c r="G11" s="14" t="s">
        <v>44</v>
      </c>
      <c r="H11" s="13" t="s">
        <v>45</v>
      </c>
      <c r="I11" s="13" t="s">
        <v>46</v>
      </c>
      <c r="J11" s="15"/>
      <c r="K11" s="16" t="s">
        <v>6</v>
      </c>
      <c r="L11" s="17" t="str">
        <f aca="false">IF(J11="","",J11+3)</f>
        <v/>
      </c>
      <c r="M11" s="17" t="str">
        <f aca="false">IF(J11="","",J11+7)</f>
        <v/>
      </c>
      <c r="N11" s="18" t="str">
        <f aca="true">IF(K11="À contacter","Envoyer message 1 + vidéo présentation",IF(K11="Message envoyé",IF(J11="","Indiquer la date d'envoi",IF(TODAY()&gt;=J11+3,"Envoyer la relance 1","Attendre la réponse")),IF(K11="Relance 1 faite",IF(TODAY()&gt;=J11+7,"Envoyer la relance 2","Attendre la réponse"),IF(K11="Relance 2 faite","Si rien sous 3 jours : Sans réponse",IF(K11="A répondu","Envoyer message 2 + vidéo workflow",IF(K11="Démo prévue","Préparer la démo avec ses produits",IF(K11="Démo faite","Envoyer l'offre et le prix",IF(K11="Client","Installer et demander un avis","Fini"))))))))</f>
        <v>Envoyer message 1 + vidéo présentation</v>
      </c>
      <c r="O11" s="19"/>
      <c r="P11" s="20"/>
    </row>
    <row r="12" customFormat="false" ht="23.85" hidden="false" customHeight="false" outlineLevel="0" collapsed="false">
      <c r="A12" s="12" t="n">
        <v>11</v>
      </c>
      <c r="B12" s="12" t="n">
        <v>1</v>
      </c>
      <c r="C12" s="12" t="s">
        <v>40</v>
      </c>
      <c r="D12" s="13" t="s">
        <v>63</v>
      </c>
      <c r="E12" s="13" t="s">
        <v>61</v>
      </c>
      <c r="F12" s="13" t="s">
        <v>64</v>
      </c>
      <c r="G12" s="14" t="s">
        <v>44</v>
      </c>
      <c r="H12" s="13" t="s">
        <v>49</v>
      </c>
      <c r="I12" s="13" t="s">
        <v>46</v>
      </c>
      <c r="J12" s="15"/>
      <c r="K12" s="16" t="s">
        <v>6</v>
      </c>
      <c r="L12" s="17" t="str">
        <f aca="false">IF(J12="","",J12+3)</f>
        <v/>
      </c>
      <c r="M12" s="17" t="str">
        <f aca="false">IF(J12="","",J12+7)</f>
        <v/>
      </c>
      <c r="N12" s="18" t="str">
        <f aca="true">IF(K12="À contacter","Envoyer message 1 + vidéo présentation",IF(K12="Message envoyé",IF(J12="","Indiquer la date d'envoi",IF(TODAY()&gt;=J12+3,"Envoyer la relance 1","Attendre la réponse")),IF(K12="Relance 1 faite",IF(TODAY()&gt;=J12+7,"Envoyer la relance 2","Attendre la réponse"),IF(K12="Relance 2 faite","Si rien sous 3 jours : Sans réponse",IF(K12="A répondu","Envoyer message 2 + vidéo workflow",IF(K12="Démo prévue","Préparer la démo avec ses produits",IF(K12="Démo faite","Envoyer l'offre et le prix",IF(K12="Client","Installer et demander un avis","Fini"))))))))</f>
        <v>Envoyer message 1 + vidéo présentation</v>
      </c>
      <c r="O12" s="19"/>
      <c r="P12" s="20"/>
    </row>
    <row r="13" customFormat="false" ht="23.85" hidden="false" customHeight="false" outlineLevel="0" collapsed="false">
      <c r="A13" s="12" t="n">
        <v>20</v>
      </c>
      <c r="B13" s="12" t="n">
        <v>1</v>
      </c>
      <c r="C13" s="12" t="s">
        <v>40</v>
      </c>
      <c r="D13" s="13" t="s">
        <v>65</v>
      </c>
      <c r="E13" s="13" t="s">
        <v>61</v>
      </c>
      <c r="F13" s="13" t="s">
        <v>66</v>
      </c>
      <c r="G13" s="14" t="s">
        <v>44</v>
      </c>
      <c r="H13" s="13" t="s">
        <v>49</v>
      </c>
      <c r="I13" s="13" t="s">
        <v>46</v>
      </c>
      <c r="J13" s="15"/>
      <c r="K13" s="16" t="s">
        <v>6</v>
      </c>
      <c r="L13" s="17" t="str">
        <f aca="false">IF(J13="","",J13+3)</f>
        <v/>
      </c>
      <c r="M13" s="17" t="str">
        <f aca="false">IF(J13="","",J13+7)</f>
        <v/>
      </c>
      <c r="N13" s="18" t="str">
        <f aca="true">IF(K13="À contacter","Envoyer message 1 + vidéo présentation",IF(K13="Message envoyé",IF(J13="","Indiquer la date d'envoi",IF(TODAY()&gt;=J13+3,"Envoyer la relance 1","Attendre la réponse")),IF(K13="Relance 1 faite",IF(TODAY()&gt;=J13+7,"Envoyer la relance 2","Attendre la réponse"),IF(K13="Relance 2 faite","Si rien sous 3 jours : Sans réponse",IF(K13="A répondu","Envoyer message 2 + vidéo workflow",IF(K13="Démo prévue","Préparer la démo avec ses produits",IF(K13="Démo faite","Envoyer l'offre et le prix",IF(K13="Client","Installer et demander un avis","Fini"))))))))</f>
        <v>Envoyer message 1 + vidéo présentation</v>
      </c>
      <c r="O13" s="19"/>
      <c r="P13" s="20"/>
    </row>
    <row r="14" customFormat="false" ht="23.85" hidden="false" customHeight="false" outlineLevel="0" collapsed="false">
      <c r="A14" s="12" t="n">
        <v>21</v>
      </c>
      <c r="B14" s="12" t="n">
        <v>1</v>
      </c>
      <c r="C14" s="12" t="s">
        <v>40</v>
      </c>
      <c r="D14" s="13" t="s">
        <v>67</v>
      </c>
      <c r="E14" s="13" t="s">
        <v>61</v>
      </c>
      <c r="F14" s="13" t="s">
        <v>68</v>
      </c>
      <c r="G14" s="14" t="s">
        <v>44</v>
      </c>
      <c r="H14" s="13" t="s">
        <v>69</v>
      </c>
      <c r="I14" s="13" t="s">
        <v>46</v>
      </c>
      <c r="J14" s="15"/>
      <c r="K14" s="16" t="s">
        <v>6</v>
      </c>
      <c r="L14" s="17" t="str">
        <f aca="false">IF(J14="","",J14+3)</f>
        <v/>
      </c>
      <c r="M14" s="17" t="str">
        <f aca="false">IF(J14="","",J14+7)</f>
        <v/>
      </c>
      <c r="N14" s="18" t="str">
        <f aca="true">IF(K14="À contacter","Envoyer message 1 + vidéo présentation",IF(K14="Message envoyé",IF(J14="","Indiquer la date d'envoi",IF(TODAY()&gt;=J14+3,"Envoyer la relance 1","Attendre la réponse")),IF(K14="Relance 1 faite",IF(TODAY()&gt;=J14+7,"Envoyer la relance 2","Attendre la réponse"),IF(K14="Relance 2 faite","Si rien sous 3 jours : Sans réponse",IF(K14="A répondu","Envoyer message 2 + vidéo workflow",IF(K14="Démo prévue","Préparer la démo avec ses produits",IF(K14="Démo faite","Envoyer l'offre et le prix",IF(K14="Client","Installer et demander un avis","Fini"))))))))</f>
        <v>Envoyer message 1 + vidéo présentation</v>
      </c>
      <c r="O14" s="19"/>
      <c r="P14" s="20"/>
    </row>
    <row r="15" customFormat="false" ht="23.85" hidden="false" customHeight="false" outlineLevel="0" collapsed="false">
      <c r="A15" s="12" t="n">
        <v>22</v>
      </c>
      <c r="B15" s="12" t="n">
        <v>1</v>
      </c>
      <c r="C15" s="12" t="s">
        <v>40</v>
      </c>
      <c r="D15" s="13" t="s">
        <v>70</v>
      </c>
      <c r="E15" s="13" t="s">
        <v>61</v>
      </c>
      <c r="F15" s="13" t="s">
        <v>71</v>
      </c>
      <c r="G15" s="14" t="s">
        <v>44</v>
      </c>
      <c r="H15" s="13" t="s">
        <v>49</v>
      </c>
      <c r="I15" s="13" t="s">
        <v>46</v>
      </c>
      <c r="J15" s="15"/>
      <c r="K15" s="16" t="s">
        <v>6</v>
      </c>
      <c r="L15" s="17" t="str">
        <f aca="false">IF(J15="","",J15+3)</f>
        <v/>
      </c>
      <c r="M15" s="17" t="str">
        <f aca="false">IF(J15="","",J15+7)</f>
        <v/>
      </c>
      <c r="N15" s="18" t="str">
        <f aca="true">IF(K15="À contacter","Envoyer message 1 + vidéo présentation",IF(K15="Message envoyé",IF(J15="","Indiquer la date d'envoi",IF(TODAY()&gt;=J15+3,"Envoyer la relance 1","Attendre la réponse")),IF(K15="Relance 1 faite",IF(TODAY()&gt;=J15+7,"Envoyer la relance 2","Attendre la réponse"),IF(K15="Relance 2 faite","Si rien sous 3 jours : Sans réponse",IF(K15="A répondu","Envoyer message 2 + vidéo workflow",IF(K15="Démo prévue","Préparer la démo avec ses produits",IF(K15="Démo faite","Envoyer l'offre et le prix",IF(K15="Client","Installer et demander un avis","Fini"))))))))</f>
        <v>Envoyer message 1 + vidéo présentation</v>
      </c>
      <c r="O15" s="19"/>
      <c r="P15" s="20"/>
    </row>
    <row r="16" customFormat="false" ht="23.85" hidden="false" customHeight="false" outlineLevel="0" collapsed="false">
      <c r="A16" s="12" t="n">
        <v>26</v>
      </c>
      <c r="B16" s="12" t="n">
        <v>1</v>
      </c>
      <c r="C16" s="12" t="s">
        <v>40</v>
      </c>
      <c r="D16" s="13" t="s">
        <v>72</v>
      </c>
      <c r="E16" s="13" t="s">
        <v>61</v>
      </c>
      <c r="F16" s="13" t="s">
        <v>73</v>
      </c>
      <c r="G16" s="14" t="s">
        <v>44</v>
      </c>
      <c r="H16" s="13" t="s">
        <v>49</v>
      </c>
      <c r="I16" s="13" t="s">
        <v>46</v>
      </c>
      <c r="J16" s="15"/>
      <c r="K16" s="16" t="s">
        <v>6</v>
      </c>
      <c r="L16" s="17" t="str">
        <f aca="false">IF(J16="","",J16+3)</f>
        <v/>
      </c>
      <c r="M16" s="17" t="str">
        <f aca="false">IF(J16="","",J16+7)</f>
        <v/>
      </c>
      <c r="N16" s="18" t="str">
        <f aca="true">IF(K16="À contacter","Envoyer message 1 + vidéo présentation",IF(K16="Message envoyé",IF(J16="","Indiquer la date d'envoi",IF(TODAY()&gt;=J16+3,"Envoyer la relance 1","Attendre la réponse")),IF(K16="Relance 1 faite",IF(TODAY()&gt;=J16+7,"Envoyer la relance 2","Attendre la réponse"),IF(K16="Relance 2 faite","Si rien sous 3 jours : Sans réponse",IF(K16="A répondu","Envoyer message 2 + vidéo workflow",IF(K16="Démo prévue","Préparer la démo avec ses produits",IF(K16="Démo faite","Envoyer l'offre et le prix",IF(K16="Client","Installer et demander un avis","Fini"))))))))</f>
        <v>Envoyer message 1 + vidéo présentation</v>
      </c>
      <c r="O16" s="19"/>
      <c r="P16" s="20"/>
    </row>
    <row r="17" customFormat="false" ht="23.85" hidden="false" customHeight="false" outlineLevel="0" collapsed="false">
      <c r="A17" s="12" t="n">
        <v>27</v>
      </c>
      <c r="B17" s="12" t="n">
        <v>1</v>
      </c>
      <c r="C17" s="12" t="s">
        <v>40</v>
      </c>
      <c r="D17" s="13" t="s">
        <v>74</v>
      </c>
      <c r="E17" s="13" t="s">
        <v>61</v>
      </c>
      <c r="F17" s="13" t="s">
        <v>75</v>
      </c>
      <c r="G17" s="14" t="s">
        <v>44</v>
      </c>
      <c r="H17" s="13" t="s">
        <v>49</v>
      </c>
      <c r="I17" s="13" t="s">
        <v>46</v>
      </c>
      <c r="J17" s="15"/>
      <c r="K17" s="16" t="s">
        <v>6</v>
      </c>
      <c r="L17" s="17" t="str">
        <f aca="false">IF(J17="","",J17+3)</f>
        <v/>
      </c>
      <c r="M17" s="17" t="str">
        <f aca="false">IF(J17="","",J17+7)</f>
        <v/>
      </c>
      <c r="N17" s="18" t="str">
        <f aca="true">IF(K17="À contacter","Envoyer message 1 + vidéo présentation",IF(K17="Message envoyé",IF(J17="","Indiquer la date d'envoi",IF(TODAY()&gt;=J17+3,"Envoyer la relance 1","Attendre la réponse")),IF(K17="Relance 1 faite",IF(TODAY()&gt;=J17+7,"Envoyer la relance 2","Attendre la réponse"),IF(K17="Relance 2 faite","Si rien sous 3 jours : Sans réponse",IF(K17="A répondu","Envoyer message 2 + vidéo workflow",IF(K17="Démo prévue","Préparer la démo avec ses produits",IF(K17="Démo faite","Envoyer l'offre et le prix",IF(K17="Client","Installer et demander un avis","Fini"))))))))</f>
        <v>Envoyer message 1 + vidéo présentation</v>
      </c>
      <c r="O17" s="19"/>
      <c r="P17" s="20"/>
    </row>
    <row r="18" customFormat="false" ht="23.85" hidden="false" customHeight="false" outlineLevel="0" collapsed="false">
      <c r="A18" s="12" t="n">
        <v>29</v>
      </c>
      <c r="B18" s="12" t="n">
        <v>1</v>
      </c>
      <c r="C18" s="12" t="s">
        <v>40</v>
      </c>
      <c r="D18" s="13" t="s">
        <v>76</v>
      </c>
      <c r="E18" s="13" t="s">
        <v>61</v>
      </c>
      <c r="F18" s="13" t="s">
        <v>77</v>
      </c>
      <c r="G18" s="14" t="s">
        <v>44</v>
      </c>
      <c r="H18" s="13" t="s">
        <v>78</v>
      </c>
      <c r="I18" s="13" t="s">
        <v>46</v>
      </c>
      <c r="J18" s="15"/>
      <c r="K18" s="16" t="s">
        <v>6</v>
      </c>
      <c r="L18" s="17" t="str">
        <f aca="false">IF(J18="","",J18+3)</f>
        <v/>
      </c>
      <c r="M18" s="17" t="str">
        <f aca="false">IF(J18="","",J18+7)</f>
        <v/>
      </c>
      <c r="N18" s="18" t="str">
        <f aca="true">IF(K18="À contacter","Envoyer message 1 + vidéo présentation",IF(K18="Message envoyé",IF(J18="","Indiquer la date d'envoi",IF(TODAY()&gt;=J18+3,"Envoyer la relance 1","Attendre la réponse")),IF(K18="Relance 1 faite",IF(TODAY()&gt;=J18+7,"Envoyer la relance 2","Attendre la réponse"),IF(K18="Relance 2 faite","Si rien sous 3 jours : Sans réponse",IF(K18="A répondu","Envoyer message 2 + vidéo workflow",IF(K18="Démo prévue","Préparer la démo avec ses produits",IF(K18="Démo faite","Envoyer l'offre et le prix",IF(K18="Client","Installer et demander un avis","Fini"))))))))</f>
        <v>Envoyer message 1 + vidéo présentation</v>
      </c>
      <c r="O18" s="19"/>
      <c r="P18" s="20"/>
    </row>
    <row r="19" customFormat="false" ht="23.85" hidden="false" customHeight="false" outlineLevel="0" collapsed="false">
      <c r="A19" s="12" t="n">
        <v>30</v>
      </c>
      <c r="B19" s="12" t="n">
        <v>1</v>
      </c>
      <c r="C19" s="12" t="s">
        <v>40</v>
      </c>
      <c r="D19" s="13" t="s">
        <v>79</v>
      </c>
      <c r="E19" s="13" t="s">
        <v>61</v>
      </c>
      <c r="F19" s="13" t="s">
        <v>80</v>
      </c>
      <c r="G19" s="14" t="s">
        <v>44</v>
      </c>
      <c r="H19" s="13" t="s">
        <v>45</v>
      </c>
      <c r="I19" s="13" t="s">
        <v>46</v>
      </c>
      <c r="J19" s="15"/>
      <c r="K19" s="16" t="s">
        <v>6</v>
      </c>
      <c r="L19" s="17" t="str">
        <f aca="false">IF(J19="","",J19+3)</f>
        <v/>
      </c>
      <c r="M19" s="17" t="str">
        <f aca="false">IF(J19="","",J19+7)</f>
        <v/>
      </c>
      <c r="N19" s="18" t="str">
        <f aca="true">IF(K19="À contacter","Envoyer message 1 + vidéo présentation",IF(K19="Message envoyé",IF(J19="","Indiquer la date d'envoi",IF(TODAY()&gt;=J19+3,"Envoyer la relance 1","Attendre la réponse")),IF(K19="Relance 1 faite",IF(TODAY()&gt;=J19+7,"Envoyer la relance 2","Attendre la réponse"),IF(K19="Relance 2 faite","Si rien sous 3 jours : Sans réponse",IF(K19="A répondu","Envoyer message 2 + vidéo workflow",IF(K19="Démo prévue","Préparer la démo avec ses produits",IF(K19="Démo faite","Envoyer l'offre et le prix",IF(K19="Client","Installer et demander un avis","Fini"))))))))</f>
        <v>Envoyer message 1 + vidéo présentation</v>
      </c>
      <c r="O19" s="19"/>
      <c r="P19" s="20"/>
    </row>
    <row r="20" customFormat="false" ht="23.85" hidden="false" customHeight="false" outlineLevel="0" collapsed="false">
      <c r="A20" s="12" t="n">
        <v>32</v>
      </c>
      <c r="B20" s="12" t="n">
        <v>1</v>
      </c>
      <c r="C20" s="12" t="s">
        <v>40</v>
      </c>
      <c r="D20" s="13" t="s">
        <v>81</v>
      </c>
      <c r="E20" s="13" t="s">
        <v>61</v>
      </c>
      <c r="F20" s="13" t="s">
        <v>82</v>
      </c>
      <c r="G20" s="14" t="s">
        <v>44</v>
      </c>
      <c r="H20" s="13" t="s">
        <v>49</v>
      </c>
      <c r="I20" s="13" t="s">
        <v>46</v>
      </c>
      <c r="J20" s="15"/>
      <c r="K20" s="16" t="s">
        <v>6</v>
      </c>
      <c r="L20" s="17" t="str">
        <f aca="false">IF(J20="","",J20+3)</f>
        <v/>
      </c>
      <c r="M20" s="17" t="str">
        <f aca="false">IF(J20="","",J20+7)</f>
        <v/>
      </c>
      <c r="N20" s="18" t="str">
        <f aca="true">IF(K20="À contacter","Envoyer message 1 + vidéo présentation",IF(K20="Message envoyé",IF(J20="","Indiquer la date d'envoi",IF(TODAY()&gt;=J20+3,"Envoyer la relance 1","Attendre la réponse")),IF(K20="Relance 1 faite",IF(TODAY()&gt;=J20+7,"Envoyer la relance 2","Attendre la réponse"),IF(K20="Relance 2 faite","Si rien sous 3 jours : Sans réponse",IF(K20="A répondu","Envoyer message 2 + vidéo workflow",IF(K20="Démo prévue","Préparer la démo avec ses produits",IF(K20="Démo faite","Envoyer l'offre et le prix",IF(K20="Client","Installer et demander un avis","Fini"))))))))</f>
        <v>Envoyer message 1 + vidéo présentation</v>
      </c>
      <c r="O20" s="19"/>
      <c r="P20" s="20"/>
    </row>
    <row r="21" customFormat="false" ht="23.85" hidden="false" customHeight="false" outlineLevel="0" collapsed="false">
      <c r="A21" s="12" t="n">
        <v>33</v>
      </c>
      <c r="B21" s="12" t="n">
        <v>1</v>
      </c>
      <c r="C21" s="12" t="s">
        <v>40</v>
      </c>
      <c r="D21" s="13" t="s">
        <v>83</v>
      </c>
      <c r="E21" s="13" t="s">
        <v>61</v>
      </c>
      <c r="F21" s="13" t="s">
        <v>84</v>
      </c>
      <c r="G21" s="14" t="s">
        <v>44</v>
      </c>
      <c r="H21" s="13" t="s">
        <v>49</v>
      </c>
      <c r="I21" s="13" t="s">
        <v>46</v>
      </c>
      <c r="J21" s="15"/>
      <c r="K21" s="16" t="s">
        <v>6</v>
      </c>
      <c r="L21" s="17" t="str">
        <f aca="false">IF(J21="","",J21+3)</f>
        <v/>
      </c>
      <c r="M21" s="17" t="str">
        <f aca="false">IF(J21="","",J21+7)</f>
        <v/>
      </c>
      <c r="N21" s="18" t="str">
        <f aca="true">IF(K21="À contacter","Envoyer message 1 + vidéo présentation",IF(K21="Message envoyé",IF(J21="","Indiquer la date d'envoi",IF(TODAY()&gt;=J21+3,"Envoyer la relance 1","Attendre la réponse")),IF(K21="Relance 1 faite",IF(TODAY()&gt;=J21+7,"Envoyer la relance 2","Attendre la réponse"),IF(K21="Relance 2 faite","Si rien sous 3 jours : Sans réponse",IF(K21="A répondu","Envoyer message 2 + vidéo workflow",IF(K21="Démo prévue","Préparer la démo avec ses produits",IF(K21="Démo faite","Envoyer l'offre et le prix",IF(K21="Client","Installer et demander un avis","Fini"))))))))</f>
        <v>Envoyer message 1 + vidéo présentation</v>
      </c>
      <c r="O21" s="19"/>
      <c r="P21" s="20"/>
    </row>
    <row r="22" customFormat="false" ht="23.85" hidden="false" customHeight="false" outlineLevel="0" collapsed="false">
      <c r="A22" s="12" t="n">
        <v>34</v>
      </c>
      <c r="B22" s="12" t="n">
        <v>1</v>
      </c>
      <c r="C22" s="12" t="s">
        <v>40</v>
      </c>
      <c r="D22" s="13" t="s">
        <v>85</v>
      </c>
      <c r="E22" s="13" t="s">
        <v>61</v>
      </c>
      <c r="F22" s="13" t="s">
        <v>86</v>
      </c>
      <c r="G22" s="14" t="s">
        <v>44</v>
      </c>
      <c r="H22" s="13" t="s">
        <v>49</v>
      </c>
      <c r="I22" s="13" t="s">
        <v>46</v>
      </c>
      <c r="J22" s="15"/>
      <c r="K22" s="16" t="s">
        <v>6</v>
      </c>
      <c r="L22" s="17" t="str">
        <f aca="false">IF(J22="","",J22+3)</f>
        <v/>
      </c>
      <c r="M22" s="17" t="str">
        <f aca="false">IF(J22="","",J22+7)</f>
        <v/>
      </c>
      <c r="N22" s="18" t="str">
        <f aca="true">IF(K22="À contacter","Envoyer message 1 + vidéo présentation",IF(K22="Message envoyé",IF(J22="","Indiquer la date d'envoi",IF(TODAY()&gt;=J22+3,"Envoyer la relance 1","Attendre la réponse")),IF(K22="Relance 1 faite",IF(TODAY()&gt;=J22+7,"Envoyer la relance 2","Attendre la réponse"),IF(K22="Relance 2 faite","Si rien sous 3 jours : Sans réponse",IF(K22="A répondu","Envoyer message 2 + vidéo workflow",IF(K22="Démo prévue","Préparer la démo avec ses produits",IF(K22="Démo faite","Envoyer l'offre et le prix",IF(K22="Client","Installer et demander un avis","Fini"))))))))</f>
        <v>Envoyer message 1 + vidéo présentation</v>
      </c>
      <c r="O22" s="19"/>
      <c r="P22" s="20"/>
    </row>
    <row r="23" customFormat="false" ht="23.85" hidden="false" customHeight="false" outlineLevel="0" collapsed="false">
      <c r="A23" s="12" t="n">
        <v>35</v>
      </c>
      <c r="B23" s="12" t="n">
        <v>1</v>
      </c>
      <c r="C23" s="12" t="s">
        <v>40</v>
      </c>
      <c r="D23" s="13" t="s">
        <v>87</v>
      </c>
      <c r="E23" s="13" t="s">
        <v>61</v>
      </c>
      <c r="F23" s="13" t="s">
        <v>88</v>
      </c>
      <c r="G23" s="14" t="s">
        <v>44</v>
      </c>
      <c r="H23" s="13" t="s">
        <v>49</v>
      </c>
      <c r="I23" s="13" t="s">
        <v>46</v>
      </c>
      <c r="J23" s="15"/>
      <c r="K23" s="16" t="s">
        <v>6</v>
      </c>
      <c r="L23" s="17" t="str">
        <f aca="false">IF(J23="","",J23+3)</f>
        <v/>
      </c>
      <c r="M23" s="17" t="str">
        <f aca="false">IF(J23="","",J23+7)</f>
        <v/>
      </c>
      <c r="N23" s="18" t="str">
        <f aca="true">IF(K23="À contacter","Envoyer message 1 + vidéo présentation",IF(K23="Message envoyé",IF(J23="","Indiquer la date d'envoi",IF(TODAY()&gt;=J23+3,"Envoyer la relance 1","Attendre la réponse")),IF(K23="Relance 1 faite",IF(TODAY()&gt;=J23+7,"Envoyer la relance 2","Attendre la réponse"),IF(K23="Relance 2 faite","Si rien sous 3 jours : Sans réponse",IF(K23="A répondu","Envoyer message 2 + vidéo workflow",IF(K23="Démo prévue","Préparer la démo avec ses produits",IF(K23="Démo faite","Envoyer l'offre et le prix",IF(K23="Client","Installer et demander un avis","Fini"))))))))</f>
        <v>Envoyer message 1 + vidéo présentation</v>
      </c>
      <c r="O23" s="19"/>
      <c r="P23" s="20"/>
    </row>
    <row r="24" customFormat="false" ht="23.85" hidden="false" customHeight="false" outlineLevel="0" collapsed="false">
      <c r="A24" s="12" t="n">
        <v>36</v>
      </c>
      <c r="B24" s="12" t="n">
        <v>1</v>
      </c>
      <c r="C24" s="12" t="s">
        <v>40</v>
      </c>
      <c r="D24" s="13" t="s">
        <v>89</v>
      </c>
      <c r="E24" s="13" t="s">
        <v>61</v>
      </c>
      <c r="F24" s="13" t="s">
        <v>90</v>
      </c>
      <c r="G24" s="14" t="s">
        <v>44</v>
      </c>
      <c r="H24" s="13" t="s">
        <v>49</v>
      </c>
      <c r="I24" s="13" t="s">
        <v>46</v>
      </c>
      <c r="J24" s="15"/>
      <c r="K24" s="16" t="s">
        <v>6</v>
      </c>
      <c r="L24" s="17" t="str">
        <f aca="false">IF(J24="","",J24+3)</f>
        <v/>
      </c>
      <c r="M24" s="17" t="str">
        <f aca="false">IF(J24="","",J24+7)</f>
        <v/>
      </c>
      <c r="N24" s="18" t="str">
        <f aca="true">IF(K24="À contacter","Envoyer message 1 + vidéo présentation",IF(K24="Message envoyé",IF(J24="","Indiquer la date d'envoi",IF(TODAY()&gt;=J24+3,"Envoyer la relance 1","Attendre la réponse")),IF(K24="Relance 1 faite",IF(TODAY()&gt;=J24+7,"Envoyer la relance 2","Attendre la réponse"),IF(K24="Relance 2 faite","Si rien sous 3 jours : Sans réponse",IF(K24="A répondu","Envoyer message 2 + vidéo workflow",IF(K24="Démo prévue","Préparer la démo avec ses produits",IF(K24="Démo faite","Envoyer l'offre et le prix",IF(K24="Client","Installer et demander un avis","Fini"))))))))</f>
        <v>Envoyer message 1 + vidéo présentation</v>
      </c>
      <c r="O24" s="19"/>
      <c r="P24" s="20"/>
    </row>
    <row r="25" customFormat="false" ht="23.85" hidden="false" customHeight="false" outlineLevel="0" collapsed="false">
      <c r="A25" s="12" t="n">
        <v>42</v>
      </c>
      <c r="B25" s="12" t="n">
        <v>2</v>
      </c>
      <c r="C25" s="12" t="s">
        <v>40</v>
      </c>
      <c r="D25" s="13" t="s">
        <v>91</v>
      </c>
      <c r="E25" s="13" t="s">
        <v>42</v>
      </c>
      <c r="F25" s="13" t="s">
        <v>92</v>
      </c>
      <c r="G25" s="14" t="s">
        <v>44</v>
      </c>
      <c r="H25" s="13" t="s">
        <v>93</v>
      </c>
      <c r="I25" s="13" t="s">
        <v>94</v>
      </c>
      <c r="J25" s="15"/>
      <c r="K25" s="16" t="s">
        <v>6</v>
      </c>
      <c r="L25" s="17" t="str">
        <f aca="false">IF(J25="","",J25+3)</f>
        <v/>
      </c>
      <c r="M25" s="17" t="str">
        <f aca="false">IF(J25="","",J25+7)</f>
        <v/>
      </c>
      <c r="N25" s="18" t="str">
        <f aca="true">IF(K25="À contacter","Envoyer message 1 + vidéo présentation",IF(K25="Message envoyé",IF(J25="","Indiquer la date d'envoi",IF(TODAY()&gt;=J25+3,"Envoyer la relance 1","Attendre la réponse")),IF(K25="Relance 1 faite",IF(TODAY()&gt;=J25+7,"Envoyer la relance 2","Attendre la réponse"),IF(K25="Relance 2 faite","Si rien sous 3 jours : Sans réponse",IF(K25="A répondu","Envoyer message 2 + vidéo workflow",IF(K25="Démo prévue","Préparer la démo avec ses produits",IF(K25="Démo faite","Envoyer l'offre et le prix",IF(K25="Client","Installer et demander un avis","Fini"))))))))</f>
        <v>Envoyer message 1 + vidéo présentation</v>
      </c>
      <c r="O25" s="19"/>
      <c r="P25" s="20"/>
    </row>
    <row r="26" customFormat="false" ht="23.85" hidden="false" customHeight="false" outlineLevel="0" collapsed="false">
      <c r="A26" s="12" t="n">
        <v>44</v>
      </c>
      <c r="B26" s="12" t="n">
        <v>2</v>
      </c>
      <c r="C26" s="12" t="s">
        <v>40</v>
      </c>
      <c r="D26" s="13" t="s">
        <v>95</v>
      </c>
      <c r="E26" s="13" t="s">
        <v>42</v>
      </c>
      <c r="F26" s="13" t="s">
        <v>96</v>
      </c>
      <c r="G26" s="14" t="s">
        <v>44</v>
      </c>
      <c r="H26" s="13" t="s">
        <v>93</v>
      </c>
      <c r="I26" s="13" t="s">
        <v>94</v>
      </c>
      <c r="J26" s="15"/>
      <c r="K26" s="16" t="s">
        <v>6</v>
      </c>
      <c r="L26" s="17" t="str">
        <f aca="false">IF(J26="","",J26+3)</f>
        <v/>
      </c>
      <c r="M26" s="17" t="str">
        <f aca="false">IF(J26="","",J26+7)</f>
        <v/>
      </c>
      <c r="N26" s="18" t="str">
        <f aca="true">IF(K26="À contacter","Envoyer message 1 + vidéo présentation",IF(K26="Message envoyé",IF(J26="","Indiquer la date d'envoi",IF(TODAY()&gt;=J26+3,"Envoyer la relance 1","Attendre la réponse")),IF(K26="Relance 1 faite",IF(TODAY()&gt;=J26+7,"Envoyer la relance 2","Attendre la réponse"),IF(K26="Relance 2 faite","Si rien sous 3 jours : Sans réponse",IF(K26="A répondu","Envoyer message 2 + vidéo workflow",IF(K26="Démo prévue","Préparer la démo avec ses produits",IF(K26="Démo faite","Envoyer l'offre et le prix",IF(K26="Client","Installer et demander un avis","Fini"))))))))</f>
        <v>Envoyer message 1 + vidéo présentation</v>
      </c>
      <c r="O26" s="19"/>
      <c r="P26" s="20"/>
    </row>
    <row r="27" customFormat="false" ht="23.85" hidden="false" customHeight="false" outlineLevel="0" collapsed="false">
      <c r="A27" s="12" t="n">
        <v>45</v>
      </c>
      <c r="B27" s="12" t="n">
        <v>2</v>
      </c>
      <c r="C27" s="12" t="s">
        <v>40</v>
      </c>
      <c r="D27" s="13" t="s">
        <v>97</v>
      </c>
      <c r="E27" s="13" t="s">
        <v>42</v>
      </c>
      <c r="F27" s="13" t="s">
        <v>98</v>
      </c>
      <c r="G27" s="14" t="s">
        <v>44</v>
      </c>
      <c r="H27" s="13" t="s">
        <v>93</v>
      </c>
      <c r="I27" s="13" t="s">
        <v>94</v>
      </c>
      <c r="J27" s="15"/>
      <c r="K27" s="16" t="s">
        <v>6</v>
      </c>
      <c r="L27" s="17" t="str">
        <f aca="false">IF(J27="","",J27+3)</f>
        <v/>
      </c>
      <c r="M27" s="17" t="str">
        <f aca="false">IF(J27="","",J27+7)</f>
        <v/>
      </c>
      <c r="N27" s="18" t="str">
        <f aca="true">IF(K27="À contacter","Envoyer message 1 + vidéo présentation",IF(K27="Message envoyé",IF(J27="","Indiquer la date d'envoi",IF(TODAY()&gt;=J27+3,"Envoyer la relance 1","Attendre la réponse")),IF(K27="Relance 1 faite",IF(TODAY()&gt;=J27+7,"Envoyer la relance 2","Attendre la réponse"),IF(K27="Relance 2 faite","Si rien sous 3 jours : Sans réponse",IF(K27="A répondu","Envoyer message 2 + vidéo workflow",IF(K27="Démo prévue","Préparer la démo avec ses produits",IF(K27="Démo faite","Envoyer l'offre et le prix",IF(K27="Client","Installer et demander un avis","Fini"))))))))</f>
        <v>Envoyer message 1 + vidéo présentation</v>
      </c>
      <c r="O27" s="19"/>
      <c r="P27" s="20"/>
    </row>
    <row r="28" customFormat="false" ht="23.85" hidden="false" customHeight="false" outlineLevel="0" collapsed="false">
      <c r="A28" s="12" t="n">
        <v>46</v>
      </c>
      <c r="B28" s="12" t="n">
        <v>2</v>
      </c>
      <c r="C28" s="12" t="s">
        <v>40</v>
      </c>
      <c r="D28" s="13" t="s">
        <v>99</v>
      </c>
      <c r="E28" s="13" t="s">
        <v>42</v>
      </c>
      <c r="F28" s="13" t="s">
        <v>100</v>
      </c>
      <c r="G28" s="14" t="s">
        <v>44</v>
      </c>
      <c r="H28" s="13" t="s">
        <v>93</v>
      </c>
      <c r="I28" s="13" t="s">
        <v>94</v>
      </c>
      <c r="J28" s="15"/>
      <c r="K28" s="16" t="s">
        <v>6</v>
      </c>
      <c r="L28" s="17" t="str">
        <f aca="false">IF(J28="","",J28+3)</f>
        <v/>
      </c>
      <c r="M28" s="17" t="str">
        <f aca="false">IF(J28="","",J28+7)</f>
        <v/>
      </c>
      <c r="N28" s="18" t="str">
        <f aca="true">IF(K28="À contacter","Envoyer message 1 + vidéo présentation",IF(K28="Message envoyé",IF(J28="","Indiquer la date d'envoi",IF(TODAY()&gt;=J28+3,"Envoyer la relance 1","Attendre la réponse")),IF(K28="Relance 1 faite",IF(TODAY()&gt;=J28+7,"Envoyer la relance 2","Attendre la réponse"),IF(K28="Relance 2 faite","Si rien sous 3 jours : Sans réponse",IF(K28="A répondu","Envoyer message 2 + vidéo workflow",IF(K28="Démo prévue","Préparer la démo avec ses produits",IF(K28="Démo faite","Envoyer l'offre et le prix",IF(K28="Client","Installer et demander un avis","Fini"))))))))</f>
        <v>Envoyer message 1 + vidéo présentation</v>
      </c>
      <c r="O28" s="19"/>
      <c r="P28" s="20"/>
    </row>
    <row r="29" customFormat="false" ht="23.85" hidden="false" customHeight="false" outlineLevel="0" collapsed="false">
      <c r="A29" s="12" t="n">
        <v>47</v>
      </c>
      <c r="B29" s="12" t="n">
        <v>2</v>
      </c>
      <c r="C29" s="12" t="s">
        <v>40</v>
      </c>
      <c r="D29" s="13" t="s">
        <v>101</v>
      </c>
      <c r="E29" s="13" t="s">
        <v>42</v>
      </c>
      <c r="F29" s="13" t="s">
        <v>102</v>
      </c>
      <c r="G29" s="14" t="s">
        <v>44</v>
      </c>
      <c r="H29" s="13" t="s">
        <v>93</v>
      </c>
      <c r="I29" s="13" t="s">
        <v>94</v>
      </c>
      <c r="J29" s="15"/>
      <c r="K29" s="16" t="s">
        <v>6</v>
      </c>
      <c r="L29" s="17" t="str">
        <f aca="false">IF(J29="","",J29+3)</f>
        <v/>
      </c>
      <c r="M29" s="17" t="str">
        <f aca="false">IF(J29="","",J29+7)</f>
        <v/>
      </c>
      <c r="N29" s="18" t="str">
        <f aca="true">IF(K29="À contacter","Envoyer message 1 + vidéo présentation",IF(K29="Message envoyé",IF(J29="","Indiquer la date d'envoi",IF(TODAY()&gt;=J29+3,"Envoyer la relance 1","Attendre la réponse")),IF(K29="Relance 1 faite",IF(TODAY()&gt;=J29+7,"Envoyer la relance 2","Attendre la réponse"),IF(K29="Relance 2 faite","Si rien sous 3 jours : Sans réponse",IF(K29="A répondu","Envoyer message 2 + vidéo workflow",IF(K29="Démo prévue","Préparer la démo avec ses produits",IF(K29="Démo faite","Envoyer l'offre et le prix",IF(K29="Client","Installer et demander un avis","Fini"))))))))</f>
        <v>Envoyer message 1 + vidéo présentation</v>
      </c>
      <c r="O29" s="19"/>
      <c r="P29" s="20"/>
    </row>
    <row r="30" customFormat="false" ht="23.85" hidden="false" customHeight="false" outlineLevel="0" collapsed="false">
      <c r="A30" s="12" t="n">
        <v>48</v>
      </c>
      <c r="B30" s="12" t="n">
        <v>2</v>
      </c>
      <c r="C30" s="12" t="s">
        <v>40</v>
      </c>
      <c r="D30" s="13" t="s">
        <v>103</v>
      </c>
      <c r="E30" s="13" t="s">
        <v>42</v>
      </c>
      <c r="F30" s="13" t="s">
        <v>104</v>
      </c>
      <c r="G30" s="14" t="s">
        <v>44</v>
      </c>
      <c r="H30" s="13" t="s">
        <v>93</v>
      </c>
      <c r="I30" s="13" t="s">
        <v>94</v>
      </c>
      <c r="J30" s="15"/>
      <c r="K30" s="16" t="s">
        <v>6</v>
      </c>
      <c r="L30" s="17" t="str">
        <f aca="false">IF(J30="","",J30+3)</f>
        <v/>
      </c>
      <c r="M30" s="17" t="str">
        <f aca="false">IF(J30="","",J30+7)</f>
        <v/>
      </c>
      <c r="N30" s="18" t="str">
        <f aca="true">IF(K30="À contacter","Envoyer message 1 + vidéo présentation",IF(K30="Message envoyé",IF(J30="","Indiquer la date d'envoi",IF(TODAY()&gt;=J30+3,"Envoyer la relance 1","Attendre la réponse")),IF(K30="Relance 1 faite",IF(TODAY()&gt;=J30+7,"Envoyer la relance 2","Attendre la réponse"),IF(K30="Relance 2 faite","Si rien sous 3 jours : Sans réponse",IF(K30="A répondu","Envoyer message 2 + vidéo workflow",IF(K30="Démo prévue","Préparer la démo avec ses produits",IF(K30="Démo faite","Envoyer l'offre et le prix",IF(K30="Client","Installer et demander un avis","Fini"))))))))</f>
        <v>Envoyer message 1 + vidéo présentation</v>
      </c>
      <c r="O30" s="19"/>
      <c r="P30" s="20"/>
    </row>
    <row r="31" customFormat="false" ht="23.85" hidden="false" customHeight="false" outlineLevel="0" collapsed="false">
      <c r="A31" s="12" t="n">
        <v>49</v>
      </c>
      <c r="B31" s="12" t="n">
        <v>2</v>
      </c>
      <c r="C31" s="12" t="s">
        <v>40</v>
      </c>
      <c r="D31" s="13" t="s">
        <v>105</v>
      </c>
      <c r="E31" s="13" t="s">
        <v>42</v>
      </c>
      <c r="F31" s="13" t="s">
        <v>106</v>
      </c>
      <c r="G31" s="14" t="s">
        <v>44</v>
      </c>
      <c r="H31" s="13" t="s">
        <v>93</v>
      </c>
      <c r="I31" s="13" t="s">
        <v>94</v>
      </c>
      <c r="J31" s="15"/>
      <c r="K31" s="16" t="s">
        <v>6</v>
      </c>
      <c r="L31" s="17" t="str">
        <f aca="false">IF(J31="","",J31+3)</f>
        <v/>
      </c>
      <c r="M31" s="17" t="str">
        <f aca="false">IF(J31="","",J31+7)</f>
        <v/>
      </c>
      <c r="N31" s="18" t="str">
        <f aca="true">IF(K31="À contacter","Envoyer message 1 + vidéo présentation",IF(K31="Message envoyé",IF(J31="","Indiquer la date d'envoi",IF(TODAY()&gt;=J31+3,"Envoyer la relance 1","Attendre la réponse")),IF(K31="Relance 1 faite",IF(TODAY()&gt;=J31+7,"Envoyer la relance 2","Attendre la réponse"),IF(K31="Relance 2 faite","Si rien sous 3 jours : Sans réponse",IF(K31="A répondu","Envoyer message 2 + vidéo workflow",IF(K31="Démo prévue","Préparer la démo avec ses produits",IF(K31="Démo faite","Envoyer l'offre et le prix",IF(K31="Client","Installer et demander un avis","Fini"))))))))</f>
        <v>Envoyer message 1 + vidéo présentation</v>
      </c>
      <c r="O31" s="19"/>
      <c r="P31" s="20" t="s">
        <v>107</v>
      </c>
    </row>
    <row r="32" customFormat="false" ht="23.85" hidden="false" customHeight="false" outlineLevel="0" collapsed="false">
      <c r="A32" s="12" t="n">
        <v>16</v>
      </c>
      <c r="B32" s="12" t="n">
        <v>2</v>
      </c>
      <c r="C32" s="12" t="s">
        <v>40</v>
      </c>
      <c r="D32" s="13" t="s">
        <v>108</v>
      </c>
      <c r="E32" s="13" t="s">
        <v>61</v>
      </c>
      <c r="F32" s="13" t="s">
        <v>109</v>
      </c>
      <c r="G32" s="14" t="s">
        <v>44</v>
      </c>
      <c r="H32" s="13" t="s">
        <v>93</v>
      </c>
      <c r="I32" s="13" t="s">
        <v>94</v>
      </c>
      <c r="J32" s="15"/>
      <c r="K32" s="16" t="s">
        <v>6</v>
      </c>
      <c r="L32" s="17" t="str">
        <f aca="false">IF(J32="","",J32+3)</f>
        <v/>
      </c>
      <c r="M32" s="17" t="str">
        <f aca="false">IF(J32="","",J32+7)</f>
        <v/>
      </c>
      <c r="N32" s="18" t="str">
        <f aca="true">IF(K32="À contacter","Envoyer message 1 + vidéo présentation",IF(K32="Message envoyé",IF(J32="","Indiquer la date d'envoi",IF(TODAY()&gt;=J32+3,"Envoyer la relance 1","Attendre la réponse")),IF(K32="Relance 1 faite",IF(TODAY()&gt;=J32+7,"Envoyer la relance 2","Attendre la réponse"),IF(K32="Relance 2 faite","Si rien sous 3 jours : Sans réponse",IF(K32="A répondu","Envoyer message 2 + vidéo workflow",IF(K32="Démo prévue","Préparer la démo avec ses produits",IF(K32="Démo faite","Envoyer l'offre et le prix",IF(K32="Client","Installer et demander un avis","Fini"))))))))</f>
        <v>Envoyer message 1 + vidéo présentation</v>
      </c>
      <c r="O32" s="19"/>
      <c r="P32" s="20"/>
    </row>
    <row r="33" customFormat="false" ht="23.85" hidden="false" customHeight="false" outlineLevel="0" collapsed="false">
      <c r="A33" s="12" t="n">
        <v>17</v>
      </c>
      <c r="B33" s="12" t="n">
        <v>2</v>
      </c>
      <c r="C33" s="12" t="s">
        <v>40</v>
      </c>
      <c r="D33" s="13" t="s">
        <v>110</v>
      </c>
      <c r="E33" s="13" t="s">
        <v>61</v>
      </c>
      <c r="F33" s="13" t="s">
        <v>111</v>
      </c>
      <c r="G33" s="14" t="s">
        <v>44</v>
      </c>
      <c r="H33" s="13" t="s">
        <v>112</v>
      </c>
      <c r="I33" s="13" t="s">
        <v>94</v>
      </c>
      <c r="J33" s="15"/>
      <c r="K33" s="16" t="s">
        <v>6</v>
      </c>
      <c r="L33" s="17" t="str">
        <f aca="false">IF(J33="","",J33+3)</f>
        <v/>
      </c>
      <c r="M33" s="17" t="str">
        <f aca="false">IF(J33="","",J33+7)</f>
        <v/>
      </c>
      <c r="N33" s="18" t="str">
        <f aca="true">IF(K33="À contacter","Envoyer message 1 + vidéo présentation",IF(K33="Message envoyé",IF(J33="","Indiquer la date d'envoi",IF(TODAY()&gt;=J33+3,"Envoyer la relance 1","Attendre la réponse")),IF(K33="Relance 1 faite",IF(TODAY()&gt;=J33+7,"Envoyer la relance 2","Attendre la réponse"),IF(K33="Relance 2 faite","Si rien sous 3 jours : Sans réponse",IF(K33="A répondu","Envoyer message 2 + vidéo workflow",IF(K33="Démo prévue","Préparer la démo avec ses produits",IF(K33="Démo faite","Envoyer l'offre et le prix",IF(K33="Client","Installer et demander un avis","Fini"))))))))</f>
        <v>Envoyer message 1 + vidéo présentation</v>
      </c>
      <c r="O33" s="19"/>
      <c r="P33" s="20"/>
    </row>
    <row r="34" customFormat="false" ht="23.85" hidden="false" customHeight="false" outlineLevel="0" collapsed="false">
      <c r="A34" s="12" t="n">
        <v>19</v>
      </c>
      <c r="B34" s="12" t="n">
        <v>2</v>
      </c>
      <c r="C34" s="12" t="s">
        <v>40</v>
      </c>
      <c r="D34" s="13" t="s">
        <v>113</v>
      </c>
      <c r="E34" s="13" t="s">
        <v>61</v>
      </c>
      <c r="F34" s="13" t="s">
        <v>114</v>
      </c>
      <c r="G34" s="14" t="s">
        <v>44</v>
      </c>
      <c r="H34" s="13" t="s">
        <v>93</v>
      </c>
      <c r="I34" s="13" t="s">
        <v>94</v>
      </c>
      <c r="J34" s="15"/>
      <c r="K34" s="16" t="s">
        <v>6</v>
      </c>
      <c r="L34" s="17" t="str">
        <f aca="false">IF(J34="","",J34+3)</f>
        <v/>
      </c>
      <c r="M34" s="17" t="str">
        <f aca="false">IF(J34="","",J34+7)</f>
        <v/>
      </c>
      <c r="N34" s="18" t="str">
        <f aca="true">IF(K34="À contacter","Envoyer message 1 + vidéo présentation",IF(K34="Message envoyé",IF(J34="","Indiquer la date d'envoi",IF(TODAY()&gt;=J34+3,"Envoyer la relance 1","Attendre la réponse")),IF(K34="Relance 1 faite",IF(TODAY()&gt;=J34+7,"Envoyer la relance 2","Attendre la réponse"),IF(K34="Relance 2 faite","Si rien sous 3 jours : Sans réponse",IF(K34="A répondu","Envoyer message 2 + vidéo workflow",IF(K34="Démo prévue","Préparer la démo avec ses produits",IF(K34="Démo faite","Envoyer l'offre et le prix",IF(K34="Client","Installer et demander un avis","Fini"))))))))</f>
        <v>Envoyer message 1 + vidéo présentation</v>
      </c>
      <c r="O34" s="19"/>
      <c r="P34" s="20"/>
    </row>
    <row r="35" customFormat="false" ht="23.85" hidden="false" customHeight="false" outlineLevel="0" collapsed="false">
      <c r="A35" s="12" t="n">
        <v>25</v>
      </c>
      <c r="B35" s="12" t="n">
        <v>2</v>
      </c>
      <c r="C35" s="12" t="s">
        <v>40</v>
      </c>
      <c r="D35" s="13" t="s">
        <v>115</v>
      </c>
      <c r="E35" s="13" t="s">
        <v>61</v>
      </c>
      <c r="F35" s="13" t="s">
        <v>116</v>
      </c>
      <c r="G35" s="14" t="s">
        <v>44</v>
      </c>
      <c r="H35" s="13" t="s">
        <v>93</v>
      </c>
      <c r="I35" s="13" t="s">
        <v>94</v>
      </c>
      <c r="J35" s="15"/>
      <c r="K35" s="16" t="s">
        <v>6</v>
      </c>
      <c r="L35" s="17" t="str">
        <f aca="false">IF(J35="","",J35+3)</f>
        <v/>
      </c>
      <c r="M35" s="17" t="str">
        <f aca="false">IF(J35="","",J35+7)</f>
        <v/>
      </c>
      <c r="N35" s="18" t="str">
        <f aca="true">IF(K35="À contacter","Envoyer message 1 + vidéo présentation",IF(K35="Message envoyé",IF(J35="","Indiquer la date d'envoi",IF(TODAY()&gt;=J35+3,"Envoyer la relance 1","Attendre la réponse")),IF(K35="Relance 1 faite",IF(TODAY()&gt;=J35+7,"Envoyer la relance 2","Attendre la réponse"),IF(K35="Relance 2 faite","Si rien sous 3 jours : Sans réponse",IF(K35="A répondu","Envoyer message 2 + vidéo workflow",IF(K35="Démo prévue","Préparer la démo avec ses produits",IF(K35="Démo faite","Envoyer l'offre et le prix",IF(K35="Client","Installer et demander un avis","Fini"))))))))</f>
        <v>Envoyer message 1 + vidéo présentation</v>
      </c>
      <c r="O35" s="19"/>
      <c r="P35" s="20"/>
    </row>
    <row r="36" customFormat="false" ht="23.85" hidden="false" customHeight="false" outlineLevel="0" collapsed="false">
      <c r="A36" s="12" t="n">
        <v>2</v>
      </c>
      <c r="B36" s="12" t="n">
        <v>2</v>
      </c>
      <c r="C36" s="12" t="s">
        <v>40</v>
      </c>
      <c r="D36" s="13" t="s">
        <v>117</v>
      </c>
      <c r="E36" s="13" t="s">
        <v>42</v>
      </c>
      <c r="F36" s="13" t="s">
        <v>118</v>
      </c>
      <c r="G36" s="14" t="s">
        <v>44</v>
      </c>
      <c r="H36" s="13" t="s">
        <v>119</v>
      </c>
      <c r="I36" s="13" t="s">
        <v>120</v>
      </c>
      <c r="J36" s="15"/>
      <c r="K36" s="16" t="s">
        <v>6</v>
      </c>
      <c r="L36" s="17" t="str">
        <f aca="false">IF(J36="","",J36+3)</f>
        <v/>
      </c>
      <c r="M36" s="17" t="str">
        <f aca="false">IF(J36="","",J36+7)</f>
        <v/>
      </c>
      <c r="N36" s="18" t="str">
        <f aca="true">IF(K36="À contacter","Envoyer message 1 + vidéo présentation",IF(K36="Message envoyé",IF(J36="","Indiquer la date d'envoi",IF(TODAY()&gt;=J36+3,"Envoyer la relance 1","Attendre la réponse")),IF(K36="Relance 1 faite",IF(TODAY()&gt;=J36+7,"Envoyer la relance 2","Attendre la réponse"),IF(K36="Relance 2 faite","Si rien sous 3 jours : Sans réponse",IF(K36="A répondu","Envoyer message 2 + vidéo workflow",IF(K36="Démo prévue","Préparer la démo avec ses produits",IF(K36="Démo faite","Envoyer l'offre et le prix",IF(K36="Client","Installer et demander un avis","Fini"))))))))</f>
        <v>Envoyer message 1 + vidéo présentation</v>
      </c>
      <c r="O36" s="19"/>
      <c r="P36" s="20"/>
    </row>
    <row r="37" customFormat="false" ht="23.85" hidden="false" customHeight="false" outlineLevel="0" collapsed="false">
      <c r="A37" s="12" t="n">
        <v>6</v>
      </c>
      <c r="B37" s="12" t="n">
        <v>2</v>
      </c>
      <c r="C37" s="12" t="s">
        <v>40</v>
      </c>
      <c r="D37" s="13" t="s">
        <v>121</v>
      </c>
      <c r="E37" s="13" t="s">
        <v>61</v>
      </c>
      <c r="F37" s="13" t="s">
        <v>122</v>
      </c>
      <c r="G37" s="14" t="s">
        <v>44</v>
      </c>
      <c r="H37" s="13" t="s">
        <v>123</v>
      </c>
      <c r="I37" s="13" t="s">
        <v>120</v>
      </c>
      <c r="J37" s="15"/>
      <c r="K37" s="16" t="s">
        <v>6</v>
      </c>
      <c r="L37" s="17" t="str">
        <f aca="false">IF(J37="","",J37+3)</f>
        <v/>
      </c>
      <c r="M37" s="17" t="str">
        <f aca="false">IF(J37="","",J37+7)</f>
        <v/>
      </c>
      <c r="N37" s="18" t="str">
        <f aca="true">IF(K37="À contacter","Envoyer message 1 + vidéo présentation",IF(K37="Message envoyé",IF(J37="","Indiquer la date d'envoi",IF(TODAY()&gt;=J37+3,"Envoyer la relance 1","Attendre la réponse")),IF(K37="Relance 1 faite",IF(TODAY()&gt;=J37+7,"Envoyer la relance 2","Attendre la réponse"),IF(K37="Relance 2 faite","Si rien sous 3 jours : Sans réponse",IF(K37="A répondu","Envoyer message 2 + vidéo workflow",IF(K37="Démo prévue","Préparer la démo avec ses produits",IF(K37="Démo faite","Envoyer l'offre et le prix",IF(K37="Client","Installer et demander un avis","Fini"))))))))</f>
        <v>Envoyer message 1 + vidéo présentation</v>
      </c>
      <c r="O37" s="19"/>
      <c r="P37" s="20"/>
    </row>
    <row r="38" customFormat="false" ht="23.85" hidden="false" customHeight="false" outlineLevel="0" collapsed="false">
      <c r="A38" s="12" t="n">
        <v>7</v>
      </c>
      <c r="B38" s="12" t="n">
        <v>2</v>
      </c>
      <c r="C38" s="12" t="s">
        <v>40</v>
      </c>
      <c r="D38" s="13" t="s">
        <v>124</v>
      </c>
      <c r="E38" s="13" t="s">
        <v>61</v>
      </c>
      <c r="F38" s="13" t="s">
        <v>125</v>
      </c>
      <c r="G38" s="14" t="s">
        <v>44</v>
      </c>
      <c r="H38" s="13" t="s">
        <v>123</v>
      </c>
      <c r="I38" s="13" t="s">
        <v>120</v>
      </c>
      <c r="J38" s="15"/>
      <c r="K38" s="16" t="s">
        <v>6</v>
      </c>
      <c r="L38" s="17" t="str">
        <f aca="false">IF(J38="","",J38+3)</f>
        <v/>
      </c>
      <c r="M38" s="17" t="str">
        <f aca="false">IF(J38="","",J38+7)</f>
        <v/>
      </c>
      <c r="N38" s="18" t="str">
        <f aca="true">IF(K38="À contacter","Envoyer message 1 + vidéo présentation",IF(K38="Message envoyé",IF(J38="","Indiquer la date d'envoi",IF(TODAY()&gt;=J38+3,"Envoyer la relance 1","Attendre la réponse")),IF(K38="Relance 1 faite",IF(TODAY()&gt;=J38+7,"Envoyer la relance 2","Attendre la réponse"),IF(K38="Relance 2 faite","Si rien sous 3 jours : Sans réponse",IF(K38="A répondu","Envoyer message 2 + vidéo workflow",IF(K38="Démo prévue","Préparer la démo avec ses produits",IF(K38="Démo faite","Envoyer l'offre et le prix",IF(K38="Client","Installer et demander un avis","Fini"))))))))</f>
        <v>Envoyer message 1 + vidéo présentation</v>
      </c>
      <c r="O38" s="19"/>
      <c r="P38" s="20"/>
    </row>
    <row r="39" customFormat="false" ht="23.85" hidden="false" customHeight="false" outlineLevel="0" collapsed="false">
      <c r="A39" s="12" t="n">
        <v>14</v>
      </c>
      <c r="B39" s="12" t="n">
        <v>2</v>
      </c>
      <c r="C39" s="12" t="s">
        <v>40</v>
      </c>
      <c r="D39" s="13" t="s">
        <v>126</v>
      </c>
      <c r="E39" s="13" t="s">
        <v>61</v>
      </c>
      <c r="F39" s="13" t="s">
        <v>127</v>
      </c>
      <c r="G39" s="14" t="s">
        <v>44</v>
      </c>
      <c r="H39" s="13" t="s">
        <v>123</v>
      </c>
      <c r="I39" s="13" t="s">
        <v>120</v>
      </c>
      <c r="J39" s="15"/>
      <c r="K39" s="16" t="s">
        <v>6</v>
      </c>
      <c r="L39" s="17" t="str">
        <f aca="false">IF(J39="","",J39+3)</f>
        <v/>
      </c>
      <c r="M39" s="17" t="str">
        <f aca="false">IF(J39="","",J39+7)</f>
        <v/>
      </c>
      <c r="N39" s="18" t="str">
        <f aca="true">IF(K39="À contacter","Envoyer message 1 + vidéo présentation",IF(K39="Message envoyé",IF(J39="","Indiquer la date d'envoi",IF(TODAY()&gt;=J39+3,"Envoyer la relance 1","Attendre la réponse")),IF(K39="Relance 1 faite",IF(TODAY()&gt;=J39+7,"Envoyer la relance 2","Attendre la réponse"),IF(K39="Relance 2 faite","Si rien sous 3 jours : Sans réponse",IF(K39="A répondu","Envoyer message 2 + vidéo workflow",IF(K39="Démo prévue","Préparer la démo avec ses produits",IF(K39="Démo faite","Envoyer l'offre et le prix",IF(K39="Client","Installer et demander un avis","Fini"))))))))</f>
        <v>Envoyer message 1 + vidéo présentation</v>
      </c>
      <c r="O39" s="19"/>
      <c r="P39" s="20"/>
    </row>
    <row r="40" customFormat="false" ht="23.85" hidden="false" customHeight="false" outlineLevel="0" collapsed="false">
      <c r="A40" s="12" t="n">
        <v>15</v>
      </c>
      <c r="B40" s="12" t="n">
        <v>2</v>
      </c>
      <c r="C40" s="12" t="s">
        <v>40</v>
      </c>
      <c r="D40" s="13" t="s">
        <v>128</v>
      </c>
      <c r="E40" s="13" t="s">
        <v>61</v>
      </c>
      <c r="F40" s="13" t="s">
        <v>129</v>
      </c>
      <c r="G40" s="14" t="s">
        <v>44</v>
      </c>
      <c r="H40" s="13" t="s">
        <v>123</v>
      </c>
      <c r="I40" s="13" t="s">
        <v>120</v>
      </c>
      <c r="J40" s="15"/>
      <c r="K40" s="16" t="s">
        <v>6</v>
      </c>
      <c r="L40" s="17" t="str">
        <f aca="false">IF(J40="","",J40+3)</f>
        <v/>
      </c>
      <c r="M40" s="17" t="str">
        <f aca="false">IF(J40="","",J40+7)</f>
        <v/>
      </c>
      <c r="N40" s="18" t="str">
        <f aca="true">IF(K40="À contacter","Envoyer message 1 + vidéo présentation",IF(K40="Message envoyé",IF(J40="","Indiquer la date d'envoi",IF(TODAY()&gt;=J40+3,"Envoyer la relance 1","Attendre la réponse")),IF(K40="Relance 1 faite",IF(TODAY()&gt;=J40+7,"Envoyer la relance 2","Attendre la réponse"),IF(K40="Relance 2 faite","Si rien sous 3 jours : Sans réponse",IF(K40="A répondu","Envoyer message 2 + vidéo workflow",IF(K40="Démo prévue","Préparer la démo avec ses produits",IF(K40="Démo faite","Envoyer l'offre et le prix",IF(K40="Client","Installer et demander un avis","Fini"))))))))</f>
        <v>Envoyer message 1 + vidéo présentation</v>
      </c>
      <c r="O40" s="19"/>
      <c r="P40" s="20"/>
    </row>
    <row r="41" customFormat="false" ht="23.85" hidden="false" customHeight="false" outlineLevel="0" collapsed="false">
      <c r="A41" s="12" t="n">
        <v>1</v>
      </c>
      <c r="B41" s="12" t="n">
        <v>3</v>
      </c>
      <c r="C41" s="12" t="s">
        <v>130</v>
      </c>
      <c r="D41" s="13" t="s">
        <v>131</v>
      </c>
      <c r="E41" s="13" t="s">
        <v>132</v>
      </c>
      <c r="F41" s="13" t="s">
        <v>133</v>
      </c>
      <c r="G41" s="14" t="s">
        <v>44</v>
      </c>
      <c r="H41" s="13" t="s">
        <v>93</v>
      </c>
      <c r="I41" s="13" t="s">
        <v>94</v>
      </c>
      <c r="J41" s="15"/>
      <c r="K41" s="16" t="s">
        <v>6</v>
      </c>
      <c r="L41" s="17" t="str">
        <f aca="false">IF(J41="","",J41+3)</f>
        <v/>
      </c>
      <c r="M41" s="17" t="str">
        <f aca="false">IF(J41="","",J41+7)</f>
        <v/>
      </c>
      <c r="N41" s="18" t="str">
        <f aca="true">IF(K41="À contacter","Envoyer message 1 + vidéo présentation",IF(K41="Message envoyé",IF(J41="","Indiquer la date d'envoi",IF(TODAY()&gt;=J41+3,"Envoyer la relance 1","Attendre la réponse")),IF(K41="Relance 1 faite",IF(TODAY()&gt;=J41+7,"Envoyer la relance 2","Attendre la réponse"),IF(K41="Relance 2 faite","Si rien sous 3 jours : Sans réponse",IF(K41="A répondu","Envoyer message 2 + vidéo workflow",IF(K41="Démo prévue","Préparer la démo avec ses produits",IF(K41="Démo faite","Envoyer l'offre et le prix",IF(K41="Client","Installer et demander un avis","Fini"))))))))</f>
        <v>Envoyer message 1 + vidéo présentation</v>
      </c>
      <c r="O41" s="19"/>
      <c r="P41" s="20" t="s">
        <v>134</v>
      </c>
    </row>
    <row r="42" customFormat="false" ht="23.85" hidden="false" customHeight="false" outlineLevel="0" collapsed="false">
      <c r="A42" s="12" t="n">
        <v>3</v>
      </c>
      <c r="B42" s="12" t="n">
        <v>3</v>
      </c>
      <c r="C42" s="12" t="s">
        <v>135</v>
      </c>
      <c r="D42" s="13" t="s">
        <v>136</v>
      </c>
      <c r="E42" s="13" t="s">
        <v>42</v>
      </c>
      <c r="F42" s="13" t="s">
        <v>137</v>
      </c>
      <c r="G42" s="14" t="s">
        <v>44</v>
      </c>
      <c r="H42" s="13" t="s">
        <v>138</v>
      </c>
      <c r="I42" s="13" t="s">
        <v>139</v>
      </c>
      <c r="J42" s="15"/>
      <c r="K42" s="16" t="s">
        <v>6</v>
      </c>
      <c r="L42" s="17" t="str">
        <f aca="false">IF(J42="","",J42+3)</f>
        <v/>
      </c>
      <c r="M42" s="17" t="str">
        <f aca="false">IF(J42="","",J42+7)</f>
        <v/>
      </c>
      <c r="N42" s="18" t="str">
        <f aca="true">IF(K42="À contacter","Envoyer message 1 + vidéo présentation",IF(K42="Message envoyé",IF(J42="","Indiquer la date d'envoi",IF(TODAY()&gt;=J42+3,"Envoyer la relance 1","Attendre la réponse")),IF(K42="Relance 1 faite",IF(TODAY()&gt;=J42+7,"Envoyer la relance 2","Attendre la réponse"),IF(K42="Relance 2 faite","Si rien sous 3 jours : Sans réponse",IF(K42="A répondu","Envoyer message 2 + vidéo workflow",IF(K42="Démo prévue","Préparer la démo avec ses produits",IF(K42="Démo faite","Envoyer l'offre et le prix",IF(K42="Client","Installer et demander un avis","Fini"))))))))</f>
        <v>Envoyer message 1 + vidéo présentation</v>
      </c>
      <c r="O42" s="19"/>
      <c r="P42" s="20"/>
    </row>
    <row r="43" customFormat="false" ht="23.85" hidden="false" customHeight="false" outlineLevel="0" collapsed="false">
      <c r="A43" s="12" t="n">
        <v>43</v>
      </c>
      <c r="B43" s="12" t="n">
        <v>3</v>
      </c>
      <c r="C43" s="12" t="s">
        <v>135</v>
      </c>
      <c r="D43" s="13" t="s">
        <v>140</v>
      </c>
      <c r="E43" s="13" t="s">
        <v>42</v>
      </c>
      <c r="F43" s="13" t="s">
        <v>141</v>
      </c>
      <c r="G43" s="14" t="s">
        <v>44</v>
      </c>
      <c r="H43" s="13" t="s">
        <v>139</v>
      </c>
      <c r="I43" s="13" t="s">
        <v>139</v>
      </c>
      <c r="J43" s="15"/>
      <c r="K43" s="16" t="s">
        <v>6</v>
      </c>
      <c r="L43" s="17" t="str">
        <f aca="false">IF(J43="","",J43+3)</f>
        <v/>
      </c>
      <c r="M43" s="17" t="str">
        <f aca="false">IF(J43="","",J43+7)</f>
        <v/>
      </c>
      <c r="N43" s="18" t="str">
        <f aca="true">IF(K43="À contacter","Envoyer message 1 + vidéo présentation",IF(K43="Message envoyé",IF(J43="","Indiquer la date d'envoi",IF(TODAY()&gt;=J43+3,"Envoyer la relance 1","Attendre la réponse")),IF(K43="Relance 1 faite",IF(TODAY()&gt;=J43+7,"Envoyer la relance 2","Attendre la réponse"),IF(K43="Relance 2 faite","Si rien sous 3 jours : Sans réponse",IF(K43="A répondu","Envoyer message 2 + vidéo workflow",IF(K43="Démo prévue","Préparer la démo avec ses produits",IF(K43="Démo faite","Envoyer l'offre et le prix",IF(K43="Client","Installer et demander un avis","Fini"))))))))</f>
        <v>Envoyer message 1 + vidéo présentation</v>
      </c>
      <c r="O43" s="19"/>
      <c r="P43" s="20"/>
    </row>
    <row r="44" customFormat="false" ht="23.85" hidden="false" customHeight="false" outlineLevel="0" collapsed="false">
      <c r="A44" s="12" t="n">
        <v>50</v>
      </c>
      <c r="B44" s="12" t="n">
        <v>3</v>
      </c>
      <c r="C44" s="12" t="s">
        <v>135</v>
      </c>
      <c r="D44" s="13" t="s">
        <v>142</v>
      </c>
      <c r="E44" s="13" t="s">
        <v>42</v>
      </c>
      <c r="F44" s="13" t="s">
        <v>143</v>
      </c>
      <c r="G44" s="14" t="s">
        <v>44</v>
      </c>
      <c r="H44" s="13" t="s">
        <v>144</v>
      </c>
      <c r="I44" s="13" t="s">
        <v>139</v>
      </c>
      <c r="J44" s="15"/>
      <c r="K44" s="16" t="s">
        <v>6</v>
      </c>
      <c r="L44" s="17" t="str">
        <f aca="false">IF(J44="","",J44+3)</f>
        <v/>
      </c>
      <c r="M44" s="17" t="str">
        <f aca="false">IF(J44="","",J44+7)</f>
        <v/>
      </c>
      <c r="N44" s="18" t="str">
        <f aca="true">IF(K44="À contacter","Envoyer message 1 + vidéo présentation",IF(K44="Message envoyé",IF(J44="","Indiquer la date d'envoi",IF(TODAY()&gt;=J44+3,"Envoyer la relance 1","Attendre la réponse")),IF(K44="Relance 1 faite",IF(TODAY()&gt;=J44+7,"Envoyer la relance 2","Attendre la réponse"),IF(K44="Relance 2 faite","Si rien sous 3 jours : Sans réponse",IF(K44="A répondu","Envoyer message 2 + vidéo workflow",IF(K44="Démo prévue","Préparer la démo avec ses produits",IF(K44="Démo faite","Envoyer l'offre et le prix",IF(K44="Client","Installer et demander un avis","Fini"))))))))</f>
        <v>Envoyer message 1 + vidéo présentation</v>
      </c>
      <c r="O44" s="19"/>
      <c r="P44" s="20"/>
    </row>
    <row r="45" customFormat="false" ht="23.85" hidden="false" customHeight="false" outlineLevel="0" collapsed="false">
      <c r="A45" s="12" t="n">
        <v>23</v>
      </c>
      <c r="B45" s="12" t="n">
        <v>3</v>
      </c>
      <c r="C45" s="12" t="s">
        <v>135</v>
      </c>
      <c r="D45" s="13" t="s">
        <v>145</v>
      </c>
      <c r="E45" s="13" t="s">
        <v>61</v>
      </c>
      <c r="F45" s="13" t="s">
        <v>146</v>
      </c>
      <c r="G45" s="14" t="s">
        <v>44</v>
      </c>
      <c r="H45" s="13" t="s">
        <v>147</v>
      </c>
      <c r="I45" s="13" t="s">
        <v>139</v>
      </c>
      <c r="J45" s="15"/>
      <c r="K45" s="16" t="s">
        <v>6</v>
      </c>
      <c r="L45" s="17" t="str">
        <f aca="false">IF(J45="","",J45+3)</f>
        <v/>
      </c>
      <c r="M45" s="17" t="str">
        <f aca="false">IF(J45="","",J45+7)</f>
        <v/>
      </c>
      <c r="N45" s="18" t="str">
        <f aca="true">IF(K45="À contacter","Envoyer message 1 + vidéo présentation",IF(K45="Message envoyé",IF(J45="","Indiquer la date d'envoi",IF(TODAY()&gt;=J45+3,"Envoyer la relance 1","Attendre la réponse")),IF(K45="Relance 1 faite",IF(TODAY()&gt;=J45+7,"Envoyer la relance 2","Attendre la réponse"),IF(K45="Relance 2 faite","Si rien sous 3 jours : Sans réponse",IF(K45="A répondu","Envoyer message 2 + vidéo workflow",IF(K45="Démo prévue","Préparer la démo avec ses produits",IF(K45="Démo faite","Envoyer l'offre et le prix",IF(K45="Client","Installer et demander un avis","Fini"))))))))</f>
        <v>Envoyer message 1 + vidéo présentation</v>
      </c>
      <c r="O45" s="19"/>
      <c r="P45" s="20"/>
    </row>
    <row r="46" customFormat="false" ht="23.85" hidden="false" customHeight="false" outlineLevel="0" collapsed="false">
      <c r="A46" s="12" t="n">
        <v>9</v>
      </c>
      <c r="B46" s="12" t="n">
        <v>3</v>
      </c>
      <c r="C46" s="12" t="s">
        <v>135</v>
      </c>
      <c r="D46" s="13" t="s">
        <v>148</v>
      </c>
      <c r="E46" s="13" t="s">
        <v>61</v>
      </c>
      <c r="F46" s="13" t="s">
        <v>149</v>
      </c>
      <c r="G46" s="14" t="s">
        <v>44</v>
      </c>
      <c r="H46" s="13" t="s">
        <v>150</v>
      </c>
      <c r="I46" s="13" t="s">
        <v>151</v>
      </c>
      <c r="J46" s="15"/>
      <c r="K46" s="16" t="s">
        <v>6</v>
      </c>
      <c r="L46" s="17" t="str">
        <f aca="false">IF(J46="","",J46+3)</f>
        <v/>
      </c>
      <c r="M46" s="17" t="str">
        <f aca="false">IF(J46="","",J46+7)</f>
        <v/>
      </c>
      <c r="N46" s="18" t="str">
        <f aca="true">IF(K46="À contacter","Envoyer message 1 + vidéo présentation",IF(K46="Message envoyé",IF(J46="","Indiquer la date d'envoi",IF(TODAY()&gt;=J46+3,"Envoyer la relance 1","Attendre la réponse")),IF(K46="Relance 1 faite",IF(TODAY()&gt;=J46+7,"Envoyer la relance 2","Attendre la réponse"),IF(K46="Relance 2 faite","Si rien sous 3 jours : Sans réponse",IF(K46="A répondu","Envoyer message 2 + vidéo workflow",IF(K46="Démo prévue","Préparer la démo avec ses produits",IF(K46="Démo faite","Envoyer l'offre et le prix",IF(K46="Client","Installer et demander un avis","Fini"))))))))</f>
        <v>Envoyer message 1 + vidéo présentation</v>
      </c>
      <c r="O46" s="19"/>
      <c r="P46" s="20"/>
    </row>
    <row r="47" customFormat="false" ht="23.85" hidden="false" customHeight="false" outlineLevel="0" collapsed="false">
      <c r="A47" s="12" t="n">
        <v>13</v>
      </c>
      <c r="B47" s="12" t="n">
        <v>3</v>
      </c>
      <c r="C47" s="12" t="s">
        <v>135</v>
      </c>
      <c r="D47" s="13" t="s">
        <v>152</v>
      </c>
      <c r="E47" s="13" t="s">
        <v>61</v>
      </c>
      <c r="F47" s="13" t="s">
        <v>153</v>
      </c>
      <c r="G47" s="14" t="s">
        <v>44</v>
      </c>
      <c r="H47" s="13" t="s">
        <v>154</v>
      </c>
      <c r="I47" s="13" t="s">
        <v>151</v>
      </c>
      <c r="J47" s="15"/>
      <c r="K47" s="16" t="s">
        <v>6</v>
      </c>
      <c r="L47" s="17" t="str">
        <f aca="false">IF(J47="","",J47+3)</f>
        <v/>
      </c>
      <c r="M47" s="17" t="str">
        <f aca="false">IF(J47="","",J47+7)</f>
        <v/>
      </c>
      <c r="N47" s="18" t="str">
        <f aca="true">IF(K47="À contacter","Envoyer message 1 + vidéo présentation",IF(K47="Message envoyé",IF(J47="","Indiquer la date d'envoi",IF(TODAY()&gt;=J47+3,"Envoyer la relance 1","Attendre la réponse")),IF(K47="Relance 1 faite",IF(TODAY()&gt;=J47+7,"Envoyer la relance 2","Attendre la réponse"),IF(K47="Relance 2 faite","Si rien sous 3 jours : Sans réponse",IF(K47="A répondu","Envoyer message 2 + vidéo workflow",IF(K47="Démo prévue","Préparer la démo avec ses produits",IF(K47="Démo faite","Envoyer l'offre et le prix",IF(K47="Client","Installer et demander un avis","Fini"))))))))</f>
        <v>Envoyer message 1 + vidéo présentation</v>
      </c>
      <c r="O47" s="19"/>
      <c r="P47" s="20"/>
    </row>
    <row r="48" customFormat="false" ht="23.85" hidden="false" customHeight="false" outlineLevel="0" collapsed="false">
      <c r="A48" s="12" t="n">
        <v>24</v>
      </c>
      <c r="B48" s="12" t="n">
        <v>3</v>
      </c>
      <c r="C48" s="12" t="s">
        <v>130</v>
      </c>
      <c r="D48" s="13" t="s">
        <v>155</v>
      </c>
      <c r="E48" s="13" t="s">
        <v>61</v>
      </c>
      <c r="F48" s="13" t="s">
        <v>156</v>
      </c>
      <c r="G48" s="14" t="s">
        <v>44</v>
      </c>
      <c r="H48" s="13" t="s">
        <v>157</v>
      </c>
      <c r="I48" s="13" t="s">
        <v>158</v>
      </c>
      <c r="J48" s="15"/>
      <c r="K48" s="16" t="s">
        <v>6</v>
      </c>
      <c r="L48" s="17" t="str">
        <f aca="false">IF(J48="","",J48+3)</f>
        <v/>
      </c>
      <c r="M48" s="17" t="str">
        <f aca="false">IF(J48="","",J48+7)</f>
        <v/>
      </c>
      <c r="N48" s="18" t="str">
        <f aca="true">IF(K48="À contacter","Envoyer message 1 + vidéo présentation",IF(K48="Message envoyé",IF(J48="","Indiquer la date d'envoi",IF(TODAY()&gt;=J48+3,"Envoyer la relance 1","Attendre la réponse")),IF(K48="Relance 1 faite",IF(TODAY()&gt;=J48+7,"Envoyer la relance 2","Attendre la réponse"),IF(K48="Relance 2 faite","Si rien sous 3 jours : Sans réponse",IF(K48="A répondu","Envoyer message 2 + vidéo workflow",IF(K48="Démo prévue","Préparer la démo avec ses produits",IF(K48="Démo faite","Envoyer l'offre et le prix",IF(K48="Client","Installer et demander un avis","Fini"))))))))</f>
        <v>Envoyer message 1 + vidéo présentation</v>
      </c>
      <c r="O48" s="19"/>
      <c r="P48" s="20" t="s">
        <v>159</v>
      </c>
    </row>
    <row r="49" customFormat="false" ht="23.85" hidden="false" customHeight="false" outlineLevel="0" collapsed="false">
      <c r="A49" s="12" t="n">
        <v>31</v>
      </c>
      <c r="B49" s="12" t="n">
        <v>3</v>
      </c>
      <c r="C49" s="12" t="s">
        <v>130</v>
      </c>
      <c r="D49" s="13" t="s">
        <v>160</v>
      </c>
      <c r="E49" s="13" t="s">
        <v>61</v>
      </c>
      <c r="F49" s="13" t="s">
        <v>161</v>
      </c>
      <c r="G49" s="14" t="s">
        <v>44</v>
      </c>
      <c r="H49" s="13" t="s">
        <v>158</v>
      </c>
      <c r="I49" s="13" t="s">
        <v>158</v>
      </c>
      <c r="J49" s="15"/>
      <c r="K49" s="16" t="s">
        <v>6</v>
      </c>
      <c r="L49" s="17" t="str">
        <f aca="false">IF(J49="","",J49+3)</f>
        <v/>
      </c>
      <c r="M49" s="17" t="str">
        <f aca="false">IF(J49="","",J49+7)</f>
        <v/>
      </c>
      <c r="N49" s="18" t="str">
        <f aca="true">IF(K49="À contacter","Envoyer message 1 + vidéo présentation",IF(K49="Message envoyé",IF(J49="","Indiquer la date d'envoi",IF(TODAY()&gt;=J49+3,"Envoyer la relance 1","Attendre la réponse")),IF(K49="Relance 1 faite",IF(TODAY()&gt;=J49+7,"Envoyer la relance 2","Attendre la réponse"),IF(K49="Relance 2 faite","Si rien sous 3 jours : Sans réponse",IF(K49="A répondu","Envoyer message 2 + vidéo workflow",IF(K49="Démo prévue","Préparer la démo avec ses produits",IF(K49="Démo faite","Envoyer l'offre et le prix",IF(K49="Client","Installer et demander un avis","Fini"))))))))</f>
        <v>Envoyer message 1 + vidéo présentation</v>
      </c>
      <c r="O49" s="19"/>
      <c r="P49" s="20" t="s">
        <v>159</v>
      </c>
    </row>
    <row r="50" customFormat="false" ht="23.85" hidden="false" customHeight="false" outlineLevel="0" collapsed="false">
      <c r="A50" s="12" t="n">
        <v>8</v>
      </c>
      <c r="B50" s="12" t="n">
        <v>3</v>
      </c>
      <c r="C50" s="12" t="s">
        <v>130</v>
      </c>
      <c r="D50" s="13" t="s">
        <v>162</v>
      </c>
      <c r="E50" s="13" t="s">
        <v>61</v>
      </c>
      <c r="F50" s="13" t="s">
        <v>163</v>
      </c>
      <c r="G50" s="14" t="s">
        <v>44</v>
      </c>
      <c r="H50" s="13" t="s">
        <v>164</v>
      </c>
      <c r="I50" s="13" t="s">
        <v>39</v>
      </c>
      <c r="J50" s="15"/>
      <c r="K50" s="16" t="s">
        <v>6</v>
      </c>
      <c r="L50" s="17" t="str">
        <f aca="false">IF(J50="","",J50+3)</f>
        <v/>
      </c>
      <c r="M50" s="17" t="str">
        <f aca="false">IF(J50="","",J50+7)</f>
        <v/>
      </c>
      <c r="N50" s="18" t="str">
        <f aca="true">IF(K50="À contacter","Envoyer message 1 + vidéo présentation",IF(K50="Message envoyé",IF(J50="","Indiquer la date d'envoi",IF(TODAY()&gt;=J50+3,"Envoyer la relance 1","Attendre la réponse")),IF(K50="Relance 1 faite",IF(TODAY()&gt;=J50+7,"Envoyer la relance 2","Attendre la réponse"),IF(K50="Relance 2 faite","Si rien sous 3 jours : Sans réponse",IF(K50="A répondu","Envoyer message 2 + vidéo workflow",IF(K50="Démo prévue","Préparer la démo avec ses produits",IF(K50="Démo faite","Envoyer l'offre et le prix",IF(K50="Client","Installer et demander un avis","Fini"))))))))</f>
        <v>Envoyer message 1 + vidéo présentation</v>
      </c>
      <c r="O50" s="19"/>
      <c r="P50" s="20" t="s">
        <v>165</v>
      </c>
    </row>
    <row r="51" customFormat="false" ht="23.85" hidden="false" customHeight="false" outlineLevel="0" collapsed="false">
      <c r="A51" s="12" t="n">
        <v>12</v>
      </c>
      <c r="B51" s="12" t="n">
        <v>3</v>
      </c>
      <c r="C51" s="12" t="s">
        <v>130</v>
      </c>
      <c r="D51" s="13" t="s">
        <v>166</v>
      </c>
      <c r="E51" s="13" t="s">
        <v>61</v>
      </c>
      <c r="F51" s="13" t="s">
        <v>167</v>
      </c>
      <c r="G51" s="14" t="s">
        <v>44</v>
      </c>
      <c r="H51" s="13" t="s">
        <v>168</v>
      </c>
      <c r="I51" s="13" t="s">
        <v>39</v>
      </c>
      <c r="J51" s="15"/>
      <c r="K51" s="16" t="s">
        <v>6</v>
      </c>
      <c r="L51" s="17" t="str">
        <f aca="false">IF(J51="","",J51+3)</f>
        <v/>
      </c>
      <c r="M51" s="17" t="str">
        <f aca="false">IF(J51="","",J51+7)</f>
        <v/>
      </c>
      <c r="N51" s="18" t="str">
        <f aca="true">IF(K51="À contacter","Envoyer message 1 + vidéo présentation",IF(K51="Message envoyé",IF(J51="","Indiquer la date d'envoi",IF(TODAY()&gt;=J51+3,"Envoyer la relance 1","Attendre la réponse")),IF(K51="Relance 1 faite",IF(TODAY()&gt;=J51+7,"Envoyer la relance 2","Attendre la réponse"),IF(K51="Relance 2 faite","Si rien sous 3 jours : Sans réponse",IF(K51="A répondu","Envoyer message 2 + vidéo workflow",IF(K51="Démo prévue","Préparer la démo avec ses produits",IF(K51="Démo faite","Envoyer l'offre et le prix",IF(K51="Client","Installer et demander un avis","Fini"))))))))</f>
        <v>Envoyer message 1 + vidéo présentation</v>
      </c>
      <c r="O51" s="19"/>
      <c r="P51" s="20" t="s">
        <v>165</v>
      </c>
    </row>
  </sheetData>
  <autoFilter ref="A4:P51"/>
  <conditionalFormatting sqref="K5:K51">
    <cfRule type="cellIs" priority="2" operator="equal" aboveAverage="0" equalAverage="0" bottom="0" percent="0" rank="0" text="" dxfId="10">
      <formula>"Client"</formula>
    </cfRule>
    <cfRule type="cellIs" priority="3" operator="equal" aboveAverage="0" equalAverage="0" bottom="0" percent="0" rank="0" text="" dxfId="11">
      <formula>"Démo prévue"</formula>
    </cfRule>
    <cfRule type="cellIs" priority="4" operator="equal" aboveAverage="0" equalAverage="0" bottom="0" percent="0" rank="0" text="" dxfId="11">
      <formula>"Démo faite"</formula>
    </cfRule>
    <cfRule type="cellIs" priority="5" operator="equal" aboveAverage="0" equalAverage="0" bottom="0" percent="0" rank="0" text="" dxfId="12">
      <formula>"A répondu"</formula>
    </cfRule>
    <cfRule type="cellIs" priority="6" operator="equal" aboveAverage="0" equalAverage="0" bottom="0" percent="0" rank="0" text="" dxfId="13">
      <formula>"Pas intéressé"</formula>
    </cfRule>
    <cfRule type="cellIs" priority="7" operator="equal" aboveAverage="0" equalAverage="0" bottom="0" percent="0" rank="0" text="" dxfId="14">
      <formula>"Sans réponse"</formula>
    </cfRule>
  </conditionalFormatting>
  <conditionalFormatting sqref="C5:C51">
    <cfRule type="cellIs" priority="8" operator="equal" aboveAverage="0" equalAverage="0" bottom="0" percent="0" rank="0" text="" dxfId="10">
      <formula>"A"</formula>
    </cfRule>
    <cfRule type="cellIs" priority="9" operator="equal" aboveAverage="0" equalAverage="0" bottom="0" percent="0" rank="0" text="" dxfId="12">
      <formula>"B"</formula>
    </cfRule>
    <cfRule type="cellIs" priority="10" operator="equal" aboveAverage="0" equalAverage="0" bottom="0" percent="0" rank="0" text="" dxfId="13">
      <formula>"C"</formula>
    </cfRule>
  </conditionalFormatting>
  <conditionalFormatting sqref="N5:N51">
    <cfRule type="expression" priority="11" aboveAverage="0" equalAverage="0" bottom="0" percent="0" rank="0" text="" dxfId="15">
      <formula>LEFT(N5,7)="Envoyer"</formula>
    </cfRule>
  </conditionalFormatting>
  <dataValidations count="2">
    <dataValidation allowBlank="false" error="Choisissez un statut dans la liste." errorStyle="stop" operator="between" showDropDown="false" showErrorMessage="true" showInputMessage="false" sqref="K5:K51" type="list">
      <formula1>"À contacter,Message envoyé,Relance 1 faite,Relance 2 faite,A répondu,Démo prévue,Démo faite,Client,Pas intéressé,Sans réponse"</formula1>
      <formula2>0</formula2>
    </dataValidation>
    <dataValidation allowBlank="true" errorStyle="stop" operator="greaterThan" showDropDown="false" showErrorMessage="false" showInputMessage="false" sqref="J5:J51" type="date">
      <formula1>45000</formula1>
      <formula2>0</formula2>
    </dataValidation>
  </dataValidations>
  <hyperlinks>
    <hyperlink ref="G5" r:id="rId1" display="Ouvrir WhatsApp"/>
    <hyperlink ref="G6" r:id="rId2" display="Ouvrir WhatsApp"/>
    <hyperlink ref="G7" r:id="rId3" display="Ouvrir WhatsApp"/>
    <hyperlink ref="G8" r:id="rId4" display="Ouvrir WhatsApp"/>
    <hyperlink ref="G9" r:id="rId5" display="Ouvrir WhatsApp"/>
    <hyperlink ref="G10" r:id="rId6" display="Ouvrir WhatsApp"/>
    <hyperlink ref="G11" r:id="rId7" display="Ouvrir WhatsApp"/>
    <hyperlink ref="G12" r:id="rId8" display="Ouvrir WhatsApp"/>
    <hyperlink ref="G13" r:id="rId9" display="Ouvrir WhatsApp"/>
    <hyperlink ref="G14" r:id="rId10" display="Ouvrir WhatsApp"/>
    <hyperlink ref="G15" r:id="rId11" display="Ouvrir WhatsApp"/>
    <hyperlink ref="G16" r:id="rId12" display="Ouvrir WhatsApp"/>
    <hyperlink ref="G17" r:id="rId13" display="Ouvrir WhatsApp"/>
    <hyperlink ref="G18" r:id="rId14" display="Ouvrir WhatsApp"/>
    <hyperlink ref="G19" r:id="rId15" display="Ouvrir WhatsApp"/>
    <hyperlink ref="G20" r:id="rId16" display="Ouvrir WhatsApp"/>
    <hyperlink ref="G21" r:id="rId17" display="Ouvrir WhatsApp"/>
    <hyperlink ref="G22" r:id="rId18" display="Ouvrir WhatsApp"/>
    <hyperlink ref="G23" r:id="rId19" display="Ouvrir WhatsApp"/>
    <hyperlink ref="G24" r:id="rId20" display="Ouvrir WhatsApp"/>
    <hyperlink ref="G25" r:id="rId21" display="Ouvrir WhatsApp"/>
    <hyperlink ref="G26" r:id="rId22" display="Ouvrir WhatsApp"/>
    <hyperlink ref="G27" r:id="rId23" display="Ouvrir WhatsApp"/>
    <hyperlink ref="G28" r:id="rId24" display="Ouvrir WhatsApp"/>
    <hyperlink ref="G29" r:id="rId25" display="Ouvrir WhatsApp"/>
    <hyperlink ref="G30" r:id="rId26" display="Ouvrir WhatsApp"/>
    <hyperlink ref="G31" r:id="rId27" display="Ouvrir WhatsApp"/>
    <hyperlink ref="G32" r:id="rId28" display="Ouvrir WhatsApp"/>
    <hyperlink ref="G33" r:id="rId29" display="Ouvrir WhatsApp"/>
    <hyperlink ref="G34" r:id="rId30" display="Ouvrir WhatsApp"/>
    <hyperlink ref="G35" r:id="rId31" display="Ouvrir WhatsApp"/>
    <hyperlink ref="G36" r:id="rId32" display="Ouvrir WhatsApp"/>
    <hyperlink ref="G37" r:id="rId33" display="Ouvrir WhatsApp"/>
    <hyperlink ref="G38" r:id="rId34" display="Ouvrir WhatsApp"/>
    <hyperlink ref="G39" r:id="rId35" display="Ouvrir WhatsApp"/>
    <hyperlink ref="G40" r:id="rId36" display="Ouvrir WhatsApp"/>
    <hyperlink ref="G41" r:id="rId37" display="Ouvrir WhatsApp"/>
    <hyperlink ref="G42" r:id="rId38" display="Ouvrir WhatsApp"/>
    <hyperlink ref="G43" r:id="rId39" display="Ouvrir WhatsApp"/>
    <hyperlink ref="G44" r:id="rId40" display="Ouvrir WhatsApp"/>
    <hyperlink ref="G45" r:id="rId41" display="Ouvrir WhatsApp"/>
    <hyperlink ref="G46" r:id="rId42" display="Ouvrir WhatsApp"/>
    <hyperlink ref="G47" r:id="rId43" display="Ouvrir WhatsApp"/>
    <hyperlink ref="G48" r:id="rId44" display="Ouvrir WhatsApp"/>
    <hyperlink ref="G49" r:id="rId45" display="Ouvrir WhatsApp"/>
    <hyperlink ref="G50" r:id="rId46" display="Ouvrir WhatsApp"/>
    <hyperlink ref="G51" r:id="rId47" display="Ouvrir WhatsAp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8.55" hidden="false" customHeight="false" outlineLevel="0" collapsed="false">
      <c r="A1" s="9" t="s">
        <v>169</v>
      </c>
    </row>
    <row r="3" customFormat="false" ht="240" hidden="false" customHeight="true" outlineLevel="0" collapsed="false">
      <c r="A3" s="21" t="s">
        <v>170</v>
      </c>
      <c r="B3" s="22" t="s">
        <v>171</v>
      </c>
    </row>
    <row r="4" customFormat="false" ht="255" hidden="false" customHeight="true" outlineLevel="0" collapsed="false">
      <c r="A4" s="21" t="s">
        <v>172</v>
      </c>
      <c r="B4" s="22" t="s">
        <v>173</v>
      </c>
    </row>
    <row r="5" customFormat="false" ht="120" hidden="false" customHeight="true" outlineLevel="0" collapsed="false">
      <c r="A5" s="21" t="s">
        <v>174</v>
      </c>
      <c r="B5" s="22" t="s">
        <v>175</v>
      </c>
    </row>
    <row r="6" customFormat="false" ht="45" hidden="false" customHeight="true" outlineLevel="0" collapsed="false">
      <c r="A6" s="21" t="s">
        <v>176</v>
      </c>
      <c r="B6" s="22" t="s">
        <v>177</v>
      </c>
    </row>
    <row r="7" customFormat="false" ht="45" hidden="false" customHeight="true" outlineLevel="0" collapsed="false">
      <c r="A7" s="21" t="s">
        <v>178</v>
      </c>
      <c r="B7" s="22"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2026-10-13T22:21:38Z</dcterms:created>
  <dc:creator>openpyxl</dc:creator>
  <dc:description/>
  <dc:language>en-US</dc:language>
  <cp:lastModifiedBy/>
  <dcterms:modified xsi:type="dcterms:W3CDTF">2026-10-13T22:21:38Z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