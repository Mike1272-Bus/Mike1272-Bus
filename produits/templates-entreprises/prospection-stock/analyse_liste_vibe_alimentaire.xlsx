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alyse" sheetId="1" state="visible" r:id="rId3"/>
  </sheets>
  <definedNames>
    <definedName function="false" hidden="true" localSheetId="0" name="_xlnm._FilterDatabase" vbProcedure="false">Analyse!$A$4:$I$54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<sst xmlns="http://schemas.openxmlformats.org/spreadsheetml/2006/main" count="350" uniqueCount="197">
  <si>
    <t xml:space="preserve">Liste Vibe Prospection (50 entreprises alimentaires) : analyse pour le système de stock</t>
  </si>
  <si>
    <t xml:space="preserve">Contacts cherchés le 13/10/2026 sur leurs sites et pages publiques. À vérifier avant d'écrire.</t>
  </si>
  <si>
    <t xml:space="preserve">N°</t>
  </si>
  <si>
    <t xml:space="preserve">Entreprise</t>
  </si>
  <si>
    <t xml:space="preserve">Ville</t>
  </si>
  <si>
    <t xml:space="preserve">Employés</t>
  </si>
  <si>
    <t xml:space="preserve">Activité</t>
  </si>
  <si>
    <t xml:space="preserve">Verdict</t>
  </si>
  <si>
    <t xml:space="preserve">Pourquoi</t>
  </si>
  <si>
    <t xml:space="preserve">Contact trouvé</t>
  </si>
  <si>
    <t xml:space="preserve">Source</t>
  </si>
  <si>
    <t xml:space="preserve">Résumé</t>
  </si>
  <si>
    <t xml:space="preserve">Umande foods</t>
  </si>
  <si>
    <t xml:space="preserve">Goma</t>
  </si>
  <si>
    <t xml:space="preserve">10001+</t>
  </si>
  <si>
    <t xml:space="preserve">Légumes déshydratés</t>
  </si>
  <si>
    <t xml:space="preserve">Joignable : ajoutée au fichier de suivi</t>
  </si>
  <si>
    <t xml:space="preserve">Vend aux ménages et aux commerces</t>
  </si>
  <si>
    <t xml:space="preserve">+260 970 463 609 · umandesarl@gmail.com</t>
  </si>
  <si>
    <t xml:space="preserve">Leur site Canva</t>
  </si>
  <si>
    <t xml:space="preserve">Butamu Aspk</t>
  </si>
  <si>
    <t xml:space="preserve">Bukavu</t>
  </si>
  <si>
    <t xml:space="preserve">1-10</t>
  </si>
  <si>
    <t xml:space="preserve">Farines de bouillie (Bukavu)</t>
  </si>
  <si>
    <t xml:space="preserve">Petite entreprise, produits en sachets</t>
  </si>
  <si>
    <t xml:space="preserve">+243 997 374 225 (à vérifier)</t>
  </si>
  <si>
    <t xml:space="preserve">Site ButamuCare</t>
  </si>
  <si>
    <t xml:space="preserve">Pertinente : contact à chercher</t>
  </si>
  <si>
    <t xml:space="preserve">Frigocongo</t>
  </si>
  <si>
    <t xml:space="preserve">Lubumbashi Katanga</t>
  </si>
  <si>
    <t xml:space="preserve">51-200</t>
  </si>
  <si>
    <t xml:space="preserve">Réseau de boucheries (Lubumbashi)</t>
  </si>
  <si>
    <t xml:space="preserve">Stock et chaîne du froid, plusieurs points de vente</t>
  </si>
  <si>
    <t xml:space="preserve">+243 997 022 378 · info@frigocongo.com</t>
  </si>
  <si>
    <t xml:space="preserve">Page Facebook FrigoCongo</t>
  </si>
  <si>
    <t xml:space="preserve">Déjà dans ta prospection</t>
  </si>
  <si>
    <t xml:space="preserve">Minoterie de Matadi MIDEMA</t>
  </si>
  <si>
    <t xml:space="preserve">Kinshasa</t>
  </si>
  <si>
    <t xml:space="preserve">Minoterie (farines, aliments bétail)</t>
  </si>
  <si>
    <t xml:space="preserve">Stock important. Peut-être déjà équipée</t>
  </si>
  <si>
    <t xml:space="preserve">+243 81 555 8000</t>
  </si>
  <si>
    <t xml:space="preserve">Site Seaboard (standard)</t>
  </si>
  <si>
    <t xml:space="preserve">Écartée</t>
  </si>
  <si>
    <t xml:space="preserve">BIOFOODS CONGO</t>
  </si>
  <si>
    <t xml:space="preserve">?</t>
  </si>
  <si>
    <t xml:space="preserve">Livraison produits alimentaires</t>
  </si>
  <si>
    <t xml:space="preserve">Stock de poissons et viandes, plusieurs villes</t>
  </si>
  <si>
    <t xml:space="preserve">+243 895 895 888 (WhatsApp) · +243 81 222 9100 · biofoodscongo@gmail.com</t>
  </si>
  <si>
    <t xml:space="preserve">Leur description</t>
  </si>
  <si>
    <t xml:space="preserve">Virunga Origins</t>
  </si>
  <si>
    <t xml:space="preserve">Mutwanga</t>
  </si>
  <si>
    <t xml:space="preserve">11-50</t>
  </si>
  <si>
    <t xml:space="preserve">Chocolat, café, savon (Virunga)</t>
  </si>
  <si>
    <t xml:space="preserve">Produits physiques, boutique en ligne</t>
  </si>
  <si>
    <t xml:space="preserve">aucun sur le site</t>
  </si>
  <si>
    <t xml:space="preserve">origins.virunga.org</t>
  </si>
  <si>
    <t xml:space="preserve">RougeCongo</t>
  </si>
  <si>
    <t xml:space="preserve">Huile de palme</t>
  </si>
  <si>
    <t xml:space="preserve">Vend en bidons de 1 et 5 L (via JauneCongo)</t>
  </si>
  <si>
    <t xml:space="preserve">aucun trouvé</t>
  </si>
  <si>
    <t xml:space="preserve">Facebook / Instagram de JauneCongo</t>
  </si>
  <si>
    <t xml:space="preserve">Kivu Society Corporation (KSC)</t>
  </si>
  <si>
    <t xml:space="preserve">Jus naturels (Goma)</t>
  </si>
  <si>
    <t xml:space="preserve">Production et distribution de boissons</t>
  </si>
  <si>
    <t xml:space="preserve">kivusocietycorporation.com</t>
  </si>
  <si>
    <t xml:space="preserve">GRECOM RDC</t>
  </si>
  <si>
    <t xml:space="preserve">Apiculture, miel</t>
  </si>
  <si>
    <t xml:space="preserve">Produits physiques</t>
  </si>
  <si>
    <t xml:space="preserve">site hors ligne</t>
  </si>
  <si>
    <t xml:space="preserve">Le Tablier RDC</t>
  </si>
  <si>
    <t xml:space="preserve">Le Tablier (restaurant ?)</t>
  </si>
  <si>
    <t xml:space="preserve">Activité peu claire</t>
  </si>
  <si>
    <t xml:space="preserve">page Facebook</t>
  </si>
  <si>
    <t xml:space="preserve">facebook.com/letablierrdc</t>
  </si>
  <si>
    <t xml:space="preserve">YANZAMBI</t>
  </si>
  <si>
    <t xml:space="preserve">Tisanes Yanzambi</t>
  </si>
  <si>
    <t xml:space="preserve">Produits emballés, points de vente</t>
  </si>
  <si>
    <t xml:space="preserve">à chercher sur le site</t>
  </si>
  <si>
    <t xml:space="preserve">yanzambi.com</t>
  </si>
  <si>
    <t xml:space="preserve">FRICO Sté</t>
  </si>
  <si>
    <t xml:space="preserve">Frites surgelées (FRICO)</t>
  </si>
  <si>
    <t xml:space="preserve">Production et vente</t>
  </si>
  <si>
    <t xml:space="preserve">Fondateur : Jean Johnson Bapanga (VC4A)</t>
  </si>
  <si>
    <t xml:space="preserve">Chawarpips officiel</t>
  </si>
  <si>
    <t xml:space="preserve">Chawarma (restaurant mobile)</t>
  </si>
  <si>
    <t xml:space="preserve">Stock d'ingrédients</t>
  </si>
  <si>
    <t xml:space="preserve">facebook.com/chawarpips</t>
  </si>
  <si>
    <t xml:space="preserve">La Boulangerie iSiCOMM®</t>
  </si>
  <si>
    <t xml:space="preserve">Boulangerie</t>
  </si>
  <si>
    <t xml:space="preserve">Stock d'ingrédients, pas de contact</t>
  </si>
  <si>
    <t xml:space="preserve">aucun</t>
  </si>
  <si>
    <t xml:space="preserve">Pearl Industries SARL</t>
  </si>
  <si>
    <t xml:space="preserve">Lubumbashi</t>
  </si>
  <si>
    <t xml:space="preserve">Eau en bouteille (Lubumbashi)</t>
  </si>
  <si>
    <t xml:space="preserve">Production et distribution</t>
  </si>
  <si>
    <t xml:space="preserve">pas de numéro public</t>
  </si>
  <si>
    <t xml:space="preserve">5393 Av. des Cimetières, Lubumbashi (pearl-industries.com)</t>
  </si>
  <si>
    <t xml:space="preserve">KenBen</t>
  </si>
  <si>
    <t xml:space="preserve">Livraison de repas (KenBen)</t>
  </si>
  <si>
    <t xml:space="preserve">Site hors ligne</t>
  </si>
  <si>
    <t xml:space="preserve">NutriKongo</t>
  </si>
  <si>
    <t xml:space="preserve">Agroalimentaire (Lubumbashi)</t>
  </si>
  <si>
    <t xml:space="preserve">Projet encore jeune</t>
  </si>
  <si>
    <t xml:space="preserve">LinkedIn</t>
  </si>
  <si>
    <t xml:space="preserve">Hok Natural Food</t>
  </si>
  <si>
    <t xml:space="preserve">Gingembre en poudre (Bukavu)</t>
  </si>
  <si>
    <t xml:space="preserve">Produit emballé</t>
  </si>
  <si>
    <t xml:space="preserve">Soft Agro Bio Food SARL</t>
  </si>
  <si>
    <t xml:space="preserve">Agro bio (Goma)</t>
  </si>
  <si>
    <t xml:space="preserve">Activité vague</t>
  </si>
  <si>
    <t xml:space="preserve">Café La Kinoise</t>
  </si>
  <si>
    <t xml:space="preserve">Déjà contactée pour la vidéo animée</t>
  </si>
  <si>
    <t xml:space="preserve">MANITECH CONGO sasu</t>
  </si>
  <si>
    <t xml:space="preserve">Transformation alimentaire</t>
  </si>
  <si>
    <t xml:space="preserve">Déjà contactée (ManiTech)</t>
  </si>
  <si>
    <t xml:space="preserve">Tomela</t>
  </si>
  <si>
    <t xml:space="preserve">Vins Tomela</t>
  </si>
  <si>
    <t xml:space="preserve">Déjà contactée</t>
  </si>
  <si>
    <t xml:space="preserve">La Ruche du Terroir</t>
  </si>
  <si>
    <t xml:space="preserve">Miel (La Ruche du Terroir)</t>
  </si>
  <si>
    <t xml:space="preserve">Déjà en semaine test</t>
  </si>
  <si>
    <t xml:space="preserve">Les Délices d'Emilie</t>
  </si>
  <si>
    <t xml:space="preserve">Pâtisserie</t>
  </si>
  <si>
    <t xml:space="preserve">Déjà contactée (Délices d'Émilie)</t>
  </si>
  <si>
    <t xml:space="preserve">Festa RDC</t>
  </si>
  <si>
    <t xml:space="preserve">201-500</t>
  </si>
  <si>
    <t xml:space="preserve">Boissons Festa</t>
  </si>
  <si>
    <t xml:space="preserve">Epicé Bon - Cuisine Congolaise</t>
  </si>
  <si>
    <t xml:space="preserve">Épicé Bon (assaisonnements)</t>
  </si>
  <si>
    <t xml:space="preserve">Déjà contactée. Numéro : +243 816 757 584</t>
  </si>
  <si>
    <t xml:space="preserve">Kahawa Congo Coffee</t>
  </si>
  <si>
    <t xml:space="preserve">Bralima S.A</t>
  </si>
  <si>
    <t xml:space="preserve">1001-5000</t>
  </si>
  <si>
    <t xml:space="preserve">Brasserie (Bralima)</t>
  </si>
  <si>
    <t xml:space="preserve">Très grande entreprise : déjà équipée de logiciels</t>
  </si>
  <si>
    <t xml:space="preserve">VARUN BEVERAGES RDC</t>
  </si>
  <si>
    <t xml:space="preserve">Boissons (Varun, PepsiCo)</t>
  </si>
  <si>
    <t xml:space="preserve">Très grande entreprise</t>
  </si>
  <si>
    <t xml:space="preserve">AGROKIVU</t>
  </si>
  <si>
    <t xml:space="preserve">Plateforme agricole</t>
  </si>
  <si>
    <t xml:space="preserve">Pas de stock de produits à vendre</t>
  </si>
  <si>
    <t xml:space="preserve">Compagnie Sucrière Kwilu-Ngongo</t>
  </si>
  <si>
    <t xml:space="preserve">Sucrerie (CSKN)</t>
  </si>
  <si>
    <t xml:space="preserve">MIDEMA - Minoterie de Matadi</t>
  </si>
  <si>
    <t xml:space="preserve">Gombe</t>
  </si>
  <si>
    <t xml:space="preserve">Minoterie (farines)</t>
  </si>
  <si>
    <t xml:space="preserve">Doublon de la ligne 40 (MIDEMA)</t>
  </si>
  <si>
    <t xml:space="preserve">Refriango RDC</t>
  </si>
  <si>
    <t xml:space="preserve">501-1000</t>
  </si>
  <si>
    <t xml:space="preserve">Boissons (Refriango)</t>
  </si>
  <si>
    <t xml:space="preserve">Swissta RDC</t>
  </si>
  <si>
    <t xml:space="preserve">Eau (Swissta)</t>
  </si>
  <si>
    <t xml:space="preserve">Grande entreprise</t>
  </si>
  <si>
    <t xml:space="preserve">Mashamba Enterprises</t>
  </si>
  <si>
    <t xml:space="preserve">Agro-industrie (Mashamba)</t>
  </si>
  <si>
    <t xml:space="preserve">Katanga Beverage Company SARL(Kabeco), Kinshasa</t>
  </si>
  <si>
    <t xml:space="preserve">Boissons (Kabeco, Bora)</t>
  </si>
  <si>
    <t xml:space="preserve">Swissta RDC S.A.R.L.</t>
  </si>
  <si>
    <t xml:space="preserve">Doublon, grande entreprise</t>
  </si>
  <si>
    <t xml:space="preserve">LIBERTY SARL</t>
  </si>
  <si>
    <t xml:space="preserve">Distribution (Liberty)</t>
  </si>
  <si>
    <t xml:space="preserve">CEN21 Hospitality</t>
  </si>
  <si>
    <t xml:space="preserve">Hôtellerie, lounges</t>
  </si>
  <si>
    <t xml:space="preserve">Groupe de restaurants, besoin différent</t>
  </si>
  <si>
    <t xml:space="preserve">Orbit Enterprises S.A.R.L</t>
  </si>
  <si>
    <t xml:space="preserve">Industrie (savon, huile, boissons)</t>
  </si>
  <si>
    <t xml:space="preserve">Sokin Agro Alimentaire</t>
  </si>
  <si>
    <t xml:space="preserve">Import et distribution (Sokin)</t>
  </si>
  <si>
    <t xml:space="preserve">Très grande entreprise (23 points de vente)</t>
  </si>
  <si>
    <t xml:space="preserve">TSONGO KASEREKA sarl</t>
  </si>
  <si>
    <t xml:space="preserve">Butembo</t>
  </si>
  <si>
    <t xml:space="preserve">Export café et cacao</t>
  </si>
  <si>
    <t xml:space="preserve">Pas de vente au détail</t>
  </si>
  <si>
    <t xml:space="preserve">Tuzolana Food and Agriculture SARL</t>
  </si>
  <si>
    <t xml:space="preserve">Agriculture (TFA)</t>
  </si>
  <si>
    <t xml:space="preserve">Activité trop vague</t>
  </si>
  <si>
    <t xml:space="preserve">Kivu Groupe Service</t>
  </si>
  <si>
    <t xml:space="preserve">Services (restaurant, nettoyage, fleurs)</t>
  </si>
  <si>
    <t xml:space="preserve">Activité trop dispersée</t>
  </si>
  <si>
    <t xml:space="preserve">IBI Village</t>
  </si>
  <si>
    <t xml:space="preserve">Agroforesterie</t>
  </si>
  <si>
    <t xml:space="preserve">Pas de vente de produits en boutique</t>
  </si>
  <si>
    <t xml:space="preserve">Tupuca RDC</t>
  </si>
  <si>
    <t xml:space="preserve">Application de livraison</t>
  </si>
  <si>
    <t xml:space="preserve">Pas de stock</t>
  </si>
  <si>
    <t xml:space="preserve">Le Gabriel</t>
  </si>
  <si>
    <t xml:space="preserve">Restaurant gastronomique</t>
  </si>
  <si>
    <t xml:space="preserve">Besoin différent</t>
  </si>
  <si>
    <t xml:space="preserve">Marché Agricole RDC</t>
  </si>
  <si>
    <t xml:space="preserve">Limete</t>
  </si>
  <si>
    <t xml:space="preserve">Initiative communautaire</t>
  </si>
  <si>
    <t xml:space="preserve">Pas de boutique</t>
  </si>
  <si>
    <t xml:space="preserve">Resto Group DRC</t>
  </si>
  <si>
    <t xml:space="preserve">Restaurants (franchise PAUL)</t>
  </si>
  <si>
    <t xml:space="preserve">Groupe déjà structuré</t>
  </si>
  <si>
    <t xml:space="preserve">MONGO Group</t>
  </si>
  <si>
    <t xml:space="preserve">Activités multiples (MONGO Group)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</si>
</sst>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6" min="5" style="0" width="30"/>
    <col collapsed="false" customWidth="true" hidden="false" outlineLevel="0" max="7" min="7" style="0" width="40"/>
    <col collapsed="false" customWidth="true" hidden="false" outlineLevel="0" max="8" min="8" style="0" width="38"/>
    <col collapsed="false" customWidth="true" hidden="false" outlineLevel="0" max="9" min="9" style="0" width="32"/>
    <col collapsed="false" customWidth="true" hidden="false" outlineLevel="0" max="11" min="11" style="0" width="3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K4" s="4" t="s">
        <v>11</v>
      </c>
    </row>
    <row r="5" customFormat="false" ht="23.85" hidden="false" customHeight="false" outlineLevel="0" collapsed="false">
      <c r="A5" s="5" t="n">
        <v>10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  <c r="K5" s="6" t="s">
        <v>16</v>
      </c>
      <c r="L5" s="4" t="n">
        <f aca="false">COUNTIF(F5:F54,K5)</f>
        <v>5</v>
      </c>
    </row>
    <row r="6" customFormat="false" ht="23.85" hidden="false" customHeight="false" outlineLevel="0" collapsed="false">
      <c r="A6" s="5" t="n">
        <v>21</v>
      </c>
      <c r="B6" s="5" t="s">
        <v>20</v>
      </c>
      <c r="C6" s="5" t="s">
        <v>21</v>
      </c>
      <c r="D6" s="5" t="s">
        <v>22</v>
      </c>
      <c r="E6" s="5" t="s">
        <v>23</v>
      </c>
      <c r="F6" s="5" t="s">
        <v>16</v>
      </c>
      <c r="G6" s="5" t="s">
        <v>24</v>
      </c>
      <c r="H6" s="5" t="s">
        <v>25</v>
      </c>
      <c r="I6" s="5" t="s">
        <v>26</v>
      </c>
      <c r="K6" s="6" t="s">
        <v>27</v>
      </c>
      <c r="L6" s="4" t="n">
        <f aca="false">COUNTIF(F5:F54,K6)</f>
        <v>14</v>
      </c>
    </row>
    <row r="7" customFormat="false" ht="23.85" hidden="false" customHeight="false" outlineLevel="0" collapsed="false">
      <c r="A7" s="5" t="n">
        <v>28</v>
      </c>
      <c r="B7" s="5" t="s">
        <v>28</v>
      </c>
      <c r="C7" s="5" t="s">
        <v>29</v>
      </c>
      <c r="D7" s="5" t="s">
        <v>30</v>
      </c>
      <c r="E7" s="5" t="s">
        <v>31</v>
      </c>
      <c r="F7" s="5" t="s">
        <v>16</v>
      </c>
      <c r="G7" s="5" t="s">
        <v>32</v>
      </c>
      <c r="H7" s="5" t="s">
        <v>33</v>
      </c>
      <c r="I7" s="5" t="s">
        <v>34</v>
      </c>
      <c r="K7" s="6" t="s">
        <v>35</v>
      </c>
      <c r="L7" s="4" t="n">
        <f aca="false">COUNTIF(F5:F54,K7)</f>
        <v>8</v>
      </c>
    </row>
    <row r="8" customFormat="false" ht="23.85" hidden="false" customHeight="false" outlineLevel="0" collapsed="false">
      <c r="A8" s="5" t="n">
        <v>40</v>
      </c>
      <c r="B8" s="5" t="s">
        <v>36</v>
      </c>
      <c r="C8" s="5" t="s">
        <v>37</v>
      </c>
      <c r="D8" s="5" t="s">
        <v>30</v>
      </c>
      <c r="E8" s="5" t="s">
        <v>38</v>
      </c>
      <c r="F8" s="5" t="s">
        <v>16</v>
      </c>
      <c r="G8" s="5" t="s">
        <v>39</v>
      </c>
      <c r="H8" s="5" t="s">
        <v>40</v>
      </c>
      <c r="I8" s="5" t="s">
        <v>41</v>
      </c>
      <c r="K8" s="6" t="s">
        <v>42</v>
      </c>
      <c r="L8" s="4" t="n">
        <f aca="false">COUNTIF(F5:F54,K8)</f>
        <v>23</v>
      </c>
    </row>
    <row r="9" customFormat="false" ht="23.85" hidden="false" customHeight="false" outlineLevel="0" collapsed="false">
      <c r="A9" s="5" t="n">
        <v>44</v>
      </c>
      <c r="B9" s="5" t="s">
        <v>43</v>
      </c>
      <c r="C9" s="5" t="s">
        <v>44</v>
      </c>
      <c r="D9" s="5" t="s">
        <v>22</v>
      </c>
      <c r="E9" s="5" t="s">
        <v>45</v>
      </c>
      <c r="F9" s="5" t="s">
        <v>16</v>
      </c>
      <c r="G9" s="5" t="s">
        <v>46</v>
      </c>
      <c r="H9" s="5" t="s">
        <v>47</v>
      </c>
      <c r="I9" s="5" t="s">
        <v>48</v>
      </c>
    </row>
    <row r="10" customFormat="false" ht="15" hidden="false" customHeight="false" outlineLevel="0" collapsed="false">
      <c r="A10" s="5" t="n">
        <v>8</v>
      </c>
      <c r="B10" s="5" t="s">
        <v>49</v>
      </c>
      <c r="C10" s="5" t="s">
        <v>50</v>
      </c>
      <c r="D10" s="5" t="s">
        <v>51</v>
      </c>
      <c r="E10" s="5" t="s">
        <v>52</v>
      </c>
      <c r="F10" s="5" t="s">
        <v>27</v>
      </c>
      <c r="G10" s="5" t="s">
        <v>53</v>
      </c>
      <c r="H10" s="5" t="s">
        <v>54</v>
      </c>
      <c r="I10" s="5" t="s">
        <v>55</v>
      </c>
    </row>
    <row r="11" customFormat="false" ht="15" hidden="false" customHeight="false" outlineLevel="0" collapsed="false">
      <c r="A11" s="5" t="n">
        <v>18</v>
      </c>
      <c r="B11" s="5" t="s">
        <v>56</v>
      </c>
      <c r="C11" s="5" t="s">
        <v>37</v>
      </c>
      <c r="D11" s="5" t="s">
        <v>51</v>
      </c>
      <c r="E11" s="5" t="s">
        <v>57</v>
      </c>
      <c r="F11" s="5" t="s">
        <v>27</v>
      </c>
      <c r="G11" s="5" t="s">
        <v>58</v>
      </c>
      <c r="H11" s="5" t="s">
        <v>59</v>
      </c>
      <c r="I11" s="5" t="s">
        <v>60</v>
      </c>
    </row>
    <row r="12" customFormat="false" ht="15" hidden="false" customHeight="false" outlineLevel="0" collapsed="false">
      <c r="A12" s="5" t="n">
        <v>20</v>
      </c>
      <c r="B12" s="5" t="s">
        <v>61</v>
      </c>
      <c r="C12" s="5" t="s">
        <v>13</v>
      </c>
      <c r="D12" s="5" t="s">
        <v>30</v>
      </c>
      <c r="E12" s="5" t="s">
        <v>62</v>
      </c>
      <c r="F12" s="5" t="s">
        <v>27</v>
      </c>
      <c r="G12" s="5" t="s">
        <v>63</v>
      </c>
      <c r="H12" s="5" t="s">
        <v>54</v>
      </c>
      <c r="I12" s="5" t="s">
        <v>64</v>
      </c>
    </row>
    <row r="13" customFormat="false" ht="15" hidden="false" customHeight="false" outlineLevel="0" collapsed="false">
      <c r="A13" s="5" t="n">
        <v>22</v>
      </c>
      <c r="B13" s="5" t="s">
        <v>65</v>
      </c>
      <c r="C13" s="5" t="s">
        <v>44</v>
      </c>
      <c r="D13" s="5" t="s">
        <v>51</v>
      </c>
      <c r="E13" s="5" t="s">
        <v>66</v>
      </c>
      <c r="F13" s="5" t="s">
        <v>27</v>
      </c>
      <c r="G13" s="5" t="s">
        <v>67</v>
      </c>
      <c r="H13" s="5" t="s">
        <v>68</v>
      </c>
      <c r="I13" s="5"/>
    </row>
    <row r="14" customFormat="false" ht="15" hidden="false" customHeight="false" outlineLevel="0" collapsed="false">
      <c r="A14" s="5" t="n">
        <v>24</v>
      </c>
      <c r="B14" s="5" t="s">
        <v>69</v>
      </c>
      <c r="C14" s="5" t="s">
        <v>44</v>
      </c>
      <c r="D14" s="5" t="s">
        <v>22</v>
      </c>
      <c r="E14" s="5" t="s">
        <v>70</v>
      </c>
      <c r="F14" s="5" t="s">
        <v>27</v>
      </c>
      <c r="G14" s="5" t="s">
        <v>71</v>
      </c>
      <c r="H14" s="5" t="s">
        <v>72</v>
      </c>
      <c r="I14" s="5" t="s">
        <v>73</v>
      </c>
    </row>
    <row r="15" customFormat="false" ht="15" hidden="false" customHeight="false" outlineLevel="0" collapsed="false">
      <c r="A15" s="5" t="n">
        <v>25</v>
      </c>
      <c r="B15" s="5" t="s">
        <v>74</v>
      </c>
      <c r="C15" s="5" t="s">
        <v>44</v>
      </c>
      <c r="D15" s="5" t="s">
        <v>51</v>
      </c>
      <c r="E15" s="5" t="s">
        <v>75</v>
      </c>
      <c r="F15" s="5" t="s">
        <v>27</v>
      </c>
      <c r="G15" s="5" t="s">
        <v>76</v>
      </c>
      <c r="H15" s="5" t="s">
        <v>77</v>
      </c>
      <c r="I15" s="5" t="s">
        <v>78</v>
      </c>
    </row>
    <row r="16" customFormat="false" ht="23.85" hidden="false" customHeight="false" outlineLevel="0" collapsed="false">
      <c r="A16" s="5" t="n">
        <v>32</v>
      </c>
      <c r="B16" s="5" t="s">
        <v>79</v>
      </c>
      <c r="C16" s="5" t="s">
        <v>37</v>
      </c>
      <c r="D16" s="5" t="s">
        <v>22</v>
      </c>
      <c r="E16" s="5" t="s">
        <v>80</v>
      </c>
      <c r="F16" s="5" t="s">
        <v>27</v>
      </c>
      <c r="G16" s="5" t="s">
        <v>81</v>
      </c>
      <c r="H16" s="5" t="s">
        <v>68</v>
      </c>
      <c r="I16" s="5" t="s">
        <v>82</v>
      </c>
    </row>
    <row r="17" customFormat="false" ht="15" hidden="false" customHeight="false" outlineLevel="0" collapsed="false">
      <c r="A17" s="5" t="n">
        <v>33</v>
      </c>
      <c r="B17" s="5" t="s">
        <v>83</v>
      </c>
      <c r="C17" s="5" t="s">
        <v>44</v>
      </c>
      <c r="D17" s="5" t="s">
        <v>22</v>
      </c>
      <c r="E17" s="5" t="s">
        <v>84</v>
      </c>
      <c r="F17" s="5" t="s">
        <v>27</v>
      </c>
      <c r="G17" s="5" t="s">
        <v>85</v>
      </c>
      <c r="H17" s="5" t="s">
        <v>72</v>
      </c>
      <c r="I17" s="5" t="s">
        <v>86</v>
      </c>
    </row>
    <row r="18" customFormat="false" ht="15" hidden="false" customHeight="false" outlineLevel="0" collapsed="false">
      <c r="A18" s="5" t="n">
        <v>34</v>
      </c>
      <c r="B18" s="5" t="s">
        <v>87</v>
      </c>
      <c r="C18" s="5" t="s">
        <v>44</v>
      </c>
      <c r="D18" s="5" t="s">
        <v>22</v>
      </c>
      <c r="E18" s="5" t="s">
        <v>88</v>
      </c>
      <c r="F18" s="5" t="s">
        <v>27</v>
      </c>
      <c r="G18" s="5" t="s">
        <v>89</v>
      </c>
      <c r="H18" s="5" t="s">
        <v>90</v>
      </c>
      <c r="I18" s="5"/>
    </row>
    <row r="19" customFormat="false" ht="23.85" hidden="false" customHeight="false" outlineLevel="0" collapsed="false">
      <c r="A19" s="5" t="n">
        <v>38</v>
      </c>
      <c r="B19" s="5" t="s">
        <v>91</v>
      </c>
      <c r="C19" s="5" t="s">
        <v>92</v>
      </c>
      <c r="D19" s="5" t="s">
        <v>51</v>
      </c>
      <c r="E19" s="5" t="s">
        <v>93</v>
      </c>
      <c r="F19" s="5" t="s">
        <v>27</v>
      </c>
      <c r="G19" s="5" t="s">
        <v>94</v>
      </c>
      <c r="H19" s="5" t="s">
        <v>95</v>
      </c>
      <c r="I19" s="5" t="s">
        <v>96</v>
      </c>
    </row>
    <row r="20" customFormat="false" ht="15" hidden="false" customHeight="false" outlineLevel="0" collapsed="false">
      <c r="A20" s="5" t="n">
        <v>42</v>
      </c>
      <c r="B20" s="5" t="s">
        <v>97</v>
      </c>
      <c r="C20" s="5" t="s">
        <v>44</v>
      </c>
      <c r="D20" s="5" t="s">
        <v>22</v>
      </c>
      <c r="E20" s="5" t="s">
        <v>98</v>
      </c>
      <c r="F20" s="5" t="s">
        <v>27</v>
      </c>
      <c r="G20" s="5" t="s">
        <v>99</v>
      </c>
      <c r="H20" s="5" t="s">
        <v>90</v>
      </c>
      <c r="I20" s="5"/>
    </row>
    <row r="21" customFormat="false" ht="15" hidden="false" customHeight="false" outlineLevel="0" collapsed="false">
      <c r="A21" s="5" t="n">
        <v>45</v>
      </c>
      <c r="B21" s="5" t="s">
        <v>100</v>
      </c>
      <c r="C21" s="5" t="s">
        <v>44</v>
      </c>
      <c r="D21" s="5" t="s">
        <v>22</v>
      </c>
      <c r="E21" s="5" t="s">
        <v>101</v>
      </c>
      <c r="F21" s="5" t="s">
        <v>27</v>
      </c>
      <c r="G21" s="5" t="s">
        <v>102</v>
      </c>
      <c r="H21" s="5" t="s">
        <v>90</v>
      </c>
      <c r="I21" s="5" t="s">
        <v>103</v>
      </c>
    </row>
    <row r="22" customFormat="false" ht="15" hidden="false" customHeight="false" outlineLevel="0" collapsed="false">
      <c r="A22" s="5" t="n">
        <v>47</v>
      </c>
      <c r="B22" s="5" t="s">
        <v>104</v>
      </c>
      <c r="C22" s="5" t="s">
        <v>21</v>
      </c>
      <c r="D22" s="5" t="s">
        <v>22</v>
      </c>
      <c r="E22" s="5" t="s">
        <v>105</v>
      </c>
      <c r="F22" s="5" t="s">
        <v>27</v>
      </c>
      <c r="G22" s="5" t="s">
        <v>106</v>
      </c>
      <c r="H22" s="5" t="s">
        <v>90</v>
      </c>
      <c r="I22" s="5" t="s">
        <v>103</v>
      </c>
    </row>
    <row r="23" customFormat="false" ht="15" hidden="false" customHeight="false" outlineLevel="0" collapsed="false">
      <c r="A23" s="5" t="n">
        <v>48</v>
      </c>
      <c r="B23" s="5" t="s">
        <v>107</v>
      </c>
      <c r="C23" s="5" t="s">
        <v>13</v>
      </c>
      <c r="D23" s="5" t="s">
        <v>22</v>
      </c>
      <c r="E23" s="5" t="s">
        <v>108</v>
      </c>
      <c r="F23" s="5" t="s">
        <v>27</v>
      </c>
      <c r="G23" s="5" t="s">
        <v>109</v>
      </c>
      <c r="H23" s="5" t="s">
        <v>90</v>
      </c>
      <c r="I23" s="5"/>
    </row>
    <row r="24" customFormat="false" ht="15" hidden="false" customHeight="false" outlineLevel="0" collapsed="false">
      <c r="A24" s="5" t="n">
        <v>5</v>
      </c>
      <c r="B24" s="5" t="s">
        <v>110</v>
      </c>
      <c r="C24" s="5" t="s">
        <v>37</v>
      </c>
      <c r="D24" s="5" t="s">
        <v>22</v>
      </c>
      <c r="E24" s="5" t="s">
        <v>110</v>
      </c>
      <c r="F24" s="5" t="s">
        <v>35</v>
      </c>
      <c r="G24" s="5" t="s">
        <v>111</v>
      </c>
      <c r="H24" s="5"/>
      <c r="I24" s="5"/>
    </row>
    <row r="25" customFormat="false" ht="15" hidden="false" customHeight="false" outlineLevel="0" collapsed="false">
      <c r="A25" s="5" t="n">
        <v>9</v>
      </c>
      <c r="B25" s="5" t="s">
        <v>112</v>
      </c>
      <c r="C25" s="5" t="s">
        <v>44</v>
      </c>
      <c r="D25" s="5" t="s">
        <v>51</v>
      </c>
      <c r="E25" s="5" t="s">
        <v>113</v>
      </c>
      <c r="F25" s="5" t="s">
        <v>35</v>
      </c>
      <c r="G25" s="5" t="s">
        <v>114</v>
      </c>
      <c r="H25" s="5"/>
      <c r="I25" s="5"/>
    </row>
    <row r="26" customFormat="false" ht="15" hidden="false" customHeight="false" outlineLevel="0" collapsed="false">
      <c r="A26" s="5" t="n">
        <v>12</v>
      </c>
      <c r="B26" s="5" t="s">
        <v>115</v>
      </c>
      <c r="C26" s="5" t="s">
        <v>44</v>
      </c>
      <c r="D26" s="5" t="s">
        <v>22</v>
      </c>
      <c r="E26" s="5" t="s">
        <v>116</v>
      </c>
      <c r="F26" s="5" t="s">
        <v>35</v>
      </c>
      <c r="G26" s="5" t="s">
        <v>117</v>
      </c>
      <c r="H26" s="5"/>
      <c r="I26" s="5"/>
    </row>
    <row r="27" customFormat="false" ht="15" hidden="false" customHeight="false" outlineLevel="0" collapsed="false">
      <c r="A27" s="5" t="n">
        <v>15</v>
      </c>
      <c r="B27" s="5" t="s">
        <v>118</v>
      </c>
      <c r="C27" s="5" t="s">
        <v>37</v>
      </c>
      <c r="D27" s="5" t="s">
        <v>22</v>
      </c>
      <c r="E27" s="5" t="s">
        <v>119</v>
      </c>
      <c r="F27" s="5" t="s">
        <v>35</v>
      </c>
      <c r="G27" s="5" t="s">
        <v>120</v>
      </c>
      <c r="H27" s="5"/>
      <c r="I27" s="5"/>
    </row>
    <row r="28" customFormat="false" ht="15" hidden="false" customHeight="false" outlineLevel="0" collapsed="false">
      <c r="A28" s="5" t="n">
        <v>17</v>
      </c>
      <c r="B28" s="5" t="s">
        <v>121</v>
      </c>
      <c r="C28" s="5" t="s">
        <v>44</v>
      </c>
      <c r="D28" s="5" t="s">
        <v>22</v>
      </c>
      <c r="E28" s="5" t="s">
        <v>122</v>
      </c>
      <c r="F28" s="5" t="s">
        <v>35</v>
      </c>
      <c r="G28" s="5" t="s">
        <v>123</v>
      </c>
      <c r="H28" s="5"/>
      <c r="I28" s="5"/>
    </row>
    <row r="29" customFormat="false" ht="15" hidden="false" customHeight="false" outlineLevel="0" collapsed="false">
      <c r="A29" s="5" t="n">
        <v>19</v>
      </c>
      <c r="B29" s="5" t="s">
        <v>124</v>
      </c>
      <c r="C29" s="5" t="s">
        <v>44</v>
      </c>
      <c r="D29" s="5" t="s">
        <v>125</v>
      </c>
      <c r="E29" s="5" t="s">
        <v>126</v>
      </c>
      <c r="F29" s="5" t="s">
        <v>35</v>
      </c>
      <c r="G29" s="5" t="s">
        <v>117</v>
      </c>
      <c r="H29" s="5"/>
      <c r="I29" s="5"/>
    </row>
    <row r="30" customFormat="false" ht="15" hidden="false" customHeight="false" outlineLevel="0" collapsed="false">
      <c r="A30" s="5" t="n">
        <v>27</v>
      </c>
      <c r="B30" s="5" t="s">
        <v>127</v>
      </c>
      <c r="C30" s="5" t="s">
        <v>37</v>
      </c>
      <c r="D30" s="5" t="s">
        <v>22</v>
      </c>
      <c r="E30" s="5" t="s">
        <v>128</v>
      </c>
      <c r="F30" s="5" t="s">
        <v>35</v>
      </c>
      <c r="G30" s="5" t="s">
        <v>129</v>
      </c>
      <c r="H30" s="5"/>
      <c r="I30" s="5"/>
    </row>
    <row r="31" customFormat="false" ht="15" hidden="false" customHeight="false" outlineLevel="0" collapsed="false">
      <c r="A31" s="5" t="n">
        <v>36</v>
      </c>
      <c r="B31" s="5" t="s">
        <v>130</v>
      </c>
      <c r="C31" s="5" t="s">
        <v>92</v>
      </c>
      <c r="D31" s="5" t="s">
        <v>51</v>
      </c>
      <c r="E31" s="5" t="s">
        <v>130</v>
      </c>
      <c r="F31" s="5" t="s">
        <v>35</v>
      </c>
      <c r="G31" s="5" t="s">
        <v>117</v>
      </c>
      <c r="H31" s="5"/>
      <c r="I31" s="5"/>
    </row>
    <row r="32" customFormat="false" ht="23.85" hidden="false" customHeight="false" outlineLevel="0" collapsed="false">
      <c r="A32" s="5" t="n">
        <v>1</v>
      </c>
      <c r="B32" s="5" t="s">
        <v>131</v>
      </c>
      <c r="C32" s="5" t="s">
        <v>44</v>
      </c>
      <c r="D32" s="5" t="s">
        <v>132</v>
      </c>
      <c r="E32" s="5" t="s">
        <v>133</v>
      </c>
      <c r="F32" s="5" t="s">
        <v>42</v>
      </c>
      <c r="G32" s="5" t="s">
        <v>134</v>
      </c>
      <c r="H32" s="5"/>
      <c r="I32" s="5"/>
    </row>
    <row r="33" customFormat="false" ht="15" hidden="false" customHeight="false" outlineLevel="0" collapsed="false">
      <c r="A33" s="5" t="n">
        <v>2</v>
      </c>
      <c r="B33" s="5" t="s">
        <v>135</v>
      </c>
      <c r="C33" s="5" t="s">
        <v>37</v>
      </c>
      <c r="D33" s="5" t="s">
        <v>132</v>
      </c>
      <c r="E33" s="5" t="s">
        <v>136</v>
      </c>
      <c r="F33" s="5" t="s">
        <v>42</v>
      </c>
      <c r="G33" s="5" t="s">
        <v>137</v>
      </c>
      <c r="H33" s="5"/>
      <c r="I33" s="5"/>
    </row>
    <row r="34" customFormat="false" ht="15" hidden="false" customHeight="false" outlineLevel="0" collapsed="false">
      <c r="A34" s="5" t="n">
        <v>3</v>
      </c>
      <c r="B34" s="5" t="s">
        <v>138</v>
      </c>
      <c r="C34" s="5" t="s">
        <v>13</v>
      </c>
      <c r="D34" s="5" t="s">
        <v>22</v>
      </c>
      <c r="E34" s="5" t="s">
        <v>139</v>
      </c>
      <c r="F34" s="5" t="s">
        <v>42</v>
      </c>
      <c r="G34" s="5" t="s">
        <v>140</v>
      </c>
      <c r="H34" s="5"/>
      <c r="I34" s="5"/>
    </row>
    <row r="35" customFormat="false" ht="15" hidden="false" customHeight="false" outlineLevel="0" collapsed="false">
      <c r="A35" s="5" t="n">
        <v>4</v>
      </c>
      <c r="B35" s="5" t="s">
        <v>141</v>
      </c>
      <c r="C35" s="5" t="s">
        <v>44</v>
      </c>
      <c r="D35" s="5" t="s">
        <v>132</v>
      </c>
      <c r="E35" s="5" t="s">
        <v>142</v>
      </c>
      <c r="F35" s="5" t="s">
        <v>42</v>
      </c>
      <c r="G35" s="5" t="s">
        <v>137</v>
      </c>
      <c r="H35" s="5"/>
      <c r="I35" s="5"/>
    </row>
    <row r="36" customFormat="false" ht="15" hidden="false" customHeight="false" outlineLevel="0" collapsed="false">
      <c r="A36" s="5" t="n">
        <v>6</v>
      </c>
      <c r="B36" s="5" t="s">
        <v>143</v>
      </c>
      <c r="C36" s="5" t="s">
        <v>144</v>
      </c>
      <c r="D36" s="5" t="s">
        <v>30</v>
      </c>
      <c r="E36" s="5" t="s">
        <v>145</v>
      </c>
      <c r="F36" s="5" t="s">
        <v>42</v>
      </c>
      <c r="G36" s="5" t="s">
        <v>146</v>
      </c>
      <c r="H36" s="5"/>
      <c r="I36" s="5"/>
    </row>
    <row r="37" customFormat="false" ht="15" hidden="false" customHeight="false" outlineLevel="0" collapsed="false">
      <c r="A37" s="5" t="n">
        <v>7</v>
      </c>
      <c r="B37" s="5" t="s">
        <v>147</v>
      </c>
      <c r="C37" s="5" t="s">
        <v>37</v>
      </c>
      <c r="D37" s="5" t="s">
        <v>148</v>
      </c>
      <c r="E37" s="5" t="s">
        <v>149</v>
      </c>
      <c r="F37" s="5" t="s">
        <v>42</v>
      </c>
      <c r="G37" s="5" t="s">
        <v>137</v>
      </c>
      <c r="H37" s="5"/>
      <c r="I37" s="5"/>
    </row>
    <row r="38" customFormat="false" ht="15" hidden="false" customHeight="false" outlineLevel="0" collapsed="false">
      <c r="A38" s="5" t="n">
        <v>11</v>
      </c>
      <c r="B38" s="5" t="s">
        <v>150</v>
      </c>
      <c r="C38" s="5" t="s">
        <v>44</v>
      </c>
      <c r="D38" s="5" t="s">
        <v>125</v>
      </c>
      <c r="E38" s="5" t="s">
        <v>151</v>
      </c>
      <c r="F38" s="5" t="s">
        <v>42</v>
      </c>
      <c r="G38" s="5" t="s">
        <v>152</v>
      </c>
      <c r="H38" s="5"/>
      <c r="I38" s="5"/>
    </row>
    <row r="39" customFormat="false" ht="15" hidden="false" customHeight="false" outlineLevel="0" collapsed="false">
      <c r="A39" s="5" t="n">
        <v>13</v>
      </c>
      <c r="B39" s="5" t="s">
        <v>153</v>
      </c>
      <c r="C39" s="5" t="s">
        <v>44</v>
      </c>
      <c r="D39" s="5" t="s">
        <v>148</v>
      </c>
      <c r="E39" s="5" t="s">
        <v>154</v>
      </c>
      <c r="F39" s="5" t="s">
        <v>42</v>
      </c>
      <c r="G39" s="5" t="s">
        <v>152</v>
      </c>
      <c r="H39" s="5"/>
      <c r="I39" s="5"/>
    </row>
    <row r="40" customFormat="false" ht="23.85" hidden="false" customHeight="false" outlineLevel="0" collapsed="false">
      <c r="A40" s="5" t="n">
        <v>14</v>
      </c>
      <c r="B40" s="5" t="s">
        <v>155</v>
      </c>
      <c r="C40" s="5" t="s">
        <v>37</v>
      </c>
      <c r="D40" s="5" t="s">
        <v>148</v>
      </c>
      <c r="E40" s="5" t="s">
        <v>156</v>
      </c>
      <c r="F40" s="5" t="s">
        <v>42</v>
      </c>
      <c r="G40" s="5" t="s">
        <v>152</v>
      </c>
      <c r="H40" s="5"/>
      <c r="I40" s="5"/>
    </row>
    <row r="41" customFormat="false" ht="15" hidden="false" customHeight="false" outlineLevel="0" collapsed="false">
      <c r="A41" s="5" t="n">
        <v>16</v>
      </c>
      <c r="B41" s="5" t="s">
        <v>157</v>
      </c>
      <c r="C41" s="5" t="s">
        <v>44</v>
      </c>
      <c r="D41" s="5" t="s">
        <v>148</v>
      </c>
      <c r="E41" s="5" t="s">
        <v>151</v>
      </c>
      <c r="F41" s="5" t="s">
        <v>42</v>
      </c>
      <c r="G41" s="5" t="s">
        <v>158</v>
      </c>
      <c r="H41" s="5"/>
      <c r="I41" s="5"/>
    </row>
    <row r="42" customFormat="false" ht="15" hidden="false" customHeight="false" outlineLevel="0" collapsed="false">
      <c r="A42" s="5" t="n">
        <v>23</v>
      </c>
      <c r="B42" s="5" t="s">
        <v>159</v>
      </c>
      <c r="C42" s="5" t="s">
        <v>44</v>
      </c>
      <c r="D42" s="5" t="s">
        <v>148</v>
      </c>
      <c r="E42" s="5" t="s">
        <v>160</v>
      </c>
      <c r="F42" s="5" t="s">
        <v>42</v>
      </c>
      <c r="G42" s="5" t="s">
        <v>137</v>
      </c>
      <c r="H42" s="5"/>
      <c r="I42" s="5"/>
    </row>
    <row r="43" customFormat="false" ht="15" hidden="false" customHeight="false" outlineLevel="0" collapsed="false">
      <c r="A43" s="5" t="n">
        <v>26</v>
      </c>
      <c r="B43" s="5" t="s">
        <v>161</v>
      </c>
      <c r="C43" s="5" t="s">
        <v>37</v>
      </c>
      <c r="D43" s="5" t="s">
        <v>30</v>
      </c>
      <c r="E43" s="5" t="s">
        <v>162</v>
      </c>
      <c r="F43" s="5" t="s">
        <v>42</v>
      </c>
      <c r="G43" s="5" t="s">
        <v>163</v>
      </c>
      <c r="H43" s="5"/>
      <c r="I43" s="5"/>
    </row>
    <row r="44" customFormat="false" ht="15" hidden="false" customHeight="false" outlineLevel="0" collapsed="false">
      <c r="A44" s="5" t="n">
        <v>29</v>
      </c>
      <c r="B44" s="5" t="s">
        <v>164</v>
      </c>
      <c r="C44" s="5" t="s">
        <v>37</v>
      </c>
      <c r="D44" s="5" t="s">
        <v>132</v>
      </c>
      <c r="E44" s="5" t="s">
        <v>165</v>
      </c>
      <c r="F44" s="5" t="s">
        <v>42</v>
      </c>
      <c r="G44" s="5" t="s">
        <v>137</v>
      </c>
      <c r="H44" s="5"/>
      <c r="I44" s="5"/>
    </row>
    <row r="45" customFormat="false" ht="15" hidden="false" customHeight="false" outlineLevel="0" collapsed="false">
      <c r="A45" s="5" t="n">
        <v>30</v>
      </c>
      <c r="B45" s="5" t="s">
        <v>166</v>
      </c>
      <c r="C45" s="5" t="s">
        <v>37</v>
      </c>
      <c r="D45" s="5" t="s">
        <v>132</v>
      </c>
      <c r="E45" s="5" t="s">
        <v>167</v>
      </c>
      <c r="F45" s="5" t="s">
        <v>42</v>
      </c>
      <c r="G45" s="5" t="s">
        <v>168</v>
      </c>
      <c r="H45" s="5"/>
      <c r="I45" s="5"/>
    </row>
    <row r="46" customFormat="false" ht="15" hidden="false" customHeight="false" outlineLevel="0" collapsed="false">
      <c r="A46" s="5" t="n">
        <v>31</v>
      </c>
      <c r="B46" s="5" t="s">
        <v>169</v>
      </c>
      <c r="C46" s="5" t="s">
        <v>170</v>
      </c>
      <c r="D46" s="5" t="s">
        <v>125</v>
      </c>
      <c r="E46" s="5" t="s">
        <v>171</v>
      </c>
      <c r="F46" s="5" t="s">
        <v>42</v>
      </c>
      <c r="G46" s="5" t="s">
        <v>172</v>
      </c>
      <c r="H46" s="5"/>
      <c r="I46" s="5"/>
    </row>
    <row r="47" customFormat="false" ht="15" hidden="false" customHeight="false" outlineLevel="0" collapsed="false">
      <c r="A47" s="5" t="n">
        <v>35</v>
      </c>
      <c r="B47" s="5" t="s">
        <v>173</v>
      </c>
      <c r="C47" s="5" t="s">
        <v>37</v>
      </c>
      <c r="D47" s="5" t="s">
        <v>30</v>
      </c>
      <c r="E47" s="5" t="s">
        <v>174</v>
      </c>
      <c r="F47" s="5" t="s">
        <v>42</v>
      </c>
      <c r="G47" s="5" t="s">
        <v>175</v>
      </c>
      <c r="H47" s="5"/>
      <c r="I47" s="5"/>
    </row>
    <row r="48" customFormat="false" ht="23.85" hidden="false" customHeight="false" outlineLevel="0" collapsed="false">
      <c r="A48" s="5" t="n">
        <v>37</v>
      </c>
      <c r="B48" s="5" t="s">
        <v>176</v>
      </c>
      <c r="C48" s="5" t="s">
        <v>13</v>
      </c>
      <c r="D48" s="5" t="s">
        <v>51</v>
      </c>
      <c r="E48" s="5" t="s">
        <v>177</v>
      </c>
      <c r="F48" s="5" t="s">
        <v>42</v>
      </c>
      <c r="G48" s="5" t="s">
        <v>178</v>
      </c>
      <c r="H48" s="5"/>
      <c r="I48" s="5"/>
    </row>
    <row r="49" customFormat="false" ht="15" hidden="false" customHeight="false" outlineLevel="0" collapsed="false">
      <c r="A49" s="5" t="n">
        <v>39</v>
      </c>
      <c r="B49" s="5" t="s">
        <v>179</v>
      </c>
      <c r="C49" s="5" t="s">
        <v>44</v>
      </c>
      <c r="D49" s="5" t="s">
        <v>22</v>
      </c>
      <c r="E49" s="5" t="s">
        <v>180</v>
      </c>
      <c r="F49" s="5" t="s">
        <v>42</v>
      </c>
      <c r="G49" s="5" t="s">
        <v>181</v>
      </c>
      <c r="H49" s="5"/>
      <c r="I49" s="5"/>
    </row>
    <row r="50" customFormat="false" ht="15" hidden="false" customHeight="false" outlineLevel="0" collapsed="false">
      <c r="A50" s="5" t="n">
        <v>41</v>
      </c>
      <c r="B50" s="5" t="s">
        <v>182</v>
      </c>
      <c r="C50" s="5" t="s">
        <v>37</v>
      </c>
      <c r="D50" s="5" t="s">
        <v>51</v>
      </c>
      <c r="E50" s="5" t="s">
        <v>183</v>
      </c>
      <c r="F50" s="5" t="s">
        <v>42</v>
      </c>
      <c r="G50" s="5" t="s">
        <v>184</v>
      </c>
      <c r="H50" s="5"/>
      <c r="I50" s="5"/>
    </row>
    <row r="51" customFormat="false" ht="15" hidden="false" customHeight="false" outlineLevel="0" collapsed="false">
      <c r="A51" s="5" t="n">
        <v>43</v>
      </c>
      <c r="B51" s="5" t="s">
        <v>185</v>
      </c>
      <c r="C51" s="5" t="s">
        <v>37</v>
      </c>
      <c r="D51" s="5" t="s">
        <v>51</v>
      </c>
      <c r="E51" s="5" t="s">
        <v>186</v>
      </c>
      <c r="F51" s="5" t="s">
        <v>42</v>
      </c>
      <c r="G51" s="5" t="s">
        <v>187</v>
      </c>
      <c r="H51" s="5"/>
      <c r="I51" s="5"/>
    </row>
    <row r="52" customFormat="false" ht="15" hidden="false" customHeight="false" outlineLevel="0" collapsed="false">
      <c r="A52" s="5" t="n">
        <v>46</v>
      </c>
      <c r="B52" s="5" t="s">
        <v>188</v>
      </c>
      <c r="C52" s="5" t="s">
        <v>189</v>
      </c>
      <c r="D52" s="5" t="s">
        <v>22</v>
      </c>
      <c r="E52" s="5" t="s">
        <v>190</v>
      </c>
      <c r="F52" s="5" t="s">
        <v>42</v>
      </c>
      <c r="G52" s="5" t="s">
        <v>191</v>
      </c>
      <c r="H52" s="5"/>
      <c r="I52" s="5"/>
    </row>
    <row r="53" customFormat="false" ht="15" hidden="false" customHeight="false" outlineLevel="0" collapsed="false">
      <c r="A53" s="5" t="n">
        <v>49</v>
      </c>
      <c r="B53" s="5" t="s">
        <v>192</v>
      </c>
      <c r="C53" s="5" t="s">
        <v>37</v>
      </c>
      <c r="D53" s="5" t="s">
        <v>30</v>
      </c>
      <c r="E53" s="5" t="s">
        <v>193</v>
      </c>
      <c r="F53" s="5" t="s">
        <v>42</v>
      </c>
      <c r="G53" s="5" t="s">
        <v>194</v>
      </c>
      <c r="H53" s="5"/>
      <c r="I53" s="5"/>
    </row>
    <row r="54" customFormat="false" ht="15" hidden="false" customHeight="false" outlineLevel="0" collapsed="false">
      <c r="A54" s="5" t="n">
        <v>50</v>
      </c>
      <c r="B54" s="5" t="s">
        <v>195</v>
      </c>
      <c r="C54" s="5" t="s">
        <v>37</v>
      </c>
      <c r="D54" s="5" t="s">
        <v>51</v>
      </c>
      <c r="E54" s="5" t="s">
        <v>196</v>
      </c>
      <c r="F54" s="5" t="s">
        <v>42</v>
      </c>
      <c r="G54" s="5" t="s">
        <v>178</v>
      </c>
      <c r="H54" s="5"/>
      <c r="I54" s="5"/>
    </row>
  </sheetData>
  <autoFilter ref="A4:I54"/>
  <conditionalFormatting sqref="F5:F54">
    <cfRule type="cellIs" priority="2" operator="equal" aboveAverage="0" equalAverage="0" bottom="0" percent="0" rank="0" text="" dxfId="7">
      <formula>"Joignable : ajoutée au fichier de suivi"</formula>
    </cfRule>
    <cfRule type="cellIs" priority="3" operator="equal" aboveAverage="0" equalAverage="0" bottom="0" percent="0" rank="0" text="" dxfId="8">
      <formula>"Pertinente : contact à chercher"</formula>
    </cfRule>
    <cfRule type="cellIs" priority="4" operator="equal" aboveAverage="0" equalAverage="0" bottom="0" percent="0" rank="0" text="" dxfId="9">
      <formula>"Déjà dans ta prospection"</formula>
    </cfRule>
    <cfRule type="cellIs" priority="5" operator="equal" aboveAverage="0" equalAverage="0" bottom="0" percent="0" rank="0" text="" dxfId="10">
      <formula>"Écartée"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2026-10-13T22:59:49Z</dcterms:created>
  <dc:creator>openpyxl</dc:creator>
  <dc:description/>
  <dc:language>en-US</dc:language>
  <cp:lastModifiedBy/>
  <dcterms:modified xsi:type="dcterms:W3CDTF">2026-10-13T22:59:49Z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