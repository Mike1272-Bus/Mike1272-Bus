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Tableau de bord" sheetId="2" state="visible" r:id="rId4"/>
    <sheet name="Produits" sheetId="3" state="visible" r:id="rId5"/>
    <sheet name="Mouveme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<sst xmlns="http://schemas.openxmlformats.org/spreadsheetml/2006/main" count="85" uniqueCount="78">
  <si>
    <t xml:space="preserve">Gestion de stock : mode d'emploi</t>
  </si>
  <si>
    <t xml:space="preserve">À quoi sert ce tableau</t>
  </si>
  <si>
    <t xml:space="preserve">Vous savez à tout moment ce qu'il vous reste en stock, quels produits commander, ce que vaut votre stock, et ce que vous avez vendu et gagné ce mois-ci.</t>
  </si>
  <si>
    <t xml:space="preserve">Les couleurs</t>
  </si>
  <si>
    <t xml:space="preserve">Cases jaunes : vous les remplissez.</t>
  </si>
  <si>
    <t xml:space="preserve">Cases grises : elles se calculent toutes seules. N'écrivez rien dedans.</t>
  </si>
  <si>
    <t xml:space="preserve">Étape 1 : une seule fois, au départ (onglet Produits)</t>
  </si>
  <si>
    <t xml:space="preserve">1. Pour chaque produit : un code court (ex. P001), le nom, la catégorie, l'unité (pièce, carton, kg…).</t>
  </si>
  <si>
    <t xml:space="preserve">2. Le prix d'achat et le prix de vente d'une unité.</t>
  </si>
  <si>
    <t xml:space="preserve">3. Le stock de départ : ce que vous comptez aujourd'hui sur vos étagères.</t>
  </si>
  <si>
    <t xml:space="preserve">4. Le seuil d'alerte : en dessous de cette quantité, le produit passe en « À commander ».</t>
  </si>
  <si>
    <t xml:space="preserve">5. Facultatif : le fournisseur et son téléphone. La colonne « Quantité à commander » propose de quoi remonter le stock au double du seuil d'alerte.</t>
  </si>
  <si>
    <t xml:space="preserve">Étape 2 : chaque jour (onglet Mouvements)</t>
  </si>
  <si>
    <t xml:space="preserve">Une ligne par mouvement : la date, le code du produit (liste déroulante), Entrée (vous recevez de la marchandise) ou Sortie (vous vendez), et la quantité.</t>
  </si>
  <si>
    <t xml:space="preserve">Le nom du produit, le prix et le montant se remplissent tout seuls.</t>
  </si>
  <si>
    <t xml:space="preserve">Étape 3 : regarder le résultat (onglet Tableau de bord)</t>
  </si>
  <si>
    <t xml:space="preserve">Choisissez la devise et le mois à afficher. Vous voyez : la valeur du stock, les produits à commander ou en rupture, les ventes, les achats et la marge du mois.</t>
  </si>
  <si>
    <t xml:space="preserve">Dans l'onglet Produits, la colonne État devient orange (À commander) ou rouge (Rupture).</t>
  </si>
  <si>
    <t xml:space="preserve">Avant de commencer</t>
  </si>
  <si>
    <t xml:space="preserve">Les lignes marquées EXEMPLE montrent comment remplir. Supprimez-les (produits et mouvements) avant de saisir vos vrais chiffres.</t>
  </si>
  <si>
    <t xml:space="preserve">Capacité : 200 produits et 1 000 mouvements. Au-delà, demandez une version plus grande.</t>
  </si>
  <si>
    <t xml:space="preserve">Astuce : le tableau marche aussi sur téléphone, dans Google Sheets ou l'application Excel.</t>
  </si>
  <si>
    <t xml:space="preserve">Tableau de bord du stock</t>
  </si>
  <si>
    <t xml:space="preserve">Devise</t>
  </si>
  <si>
    <t xml:space="preserve">$</t>
  </si>
  <si>
    <t xml:space="preserve">Écrivez $ ou FC</t>
  </si>
  <si>
    <t xml:space="preserve">Mois affiché (n'importe quelle date du mois)</t>
  </si>
  <si>
    <t xml:space="preserve">Remplacez par une date pour voir un autre mois</t>
  </si>
  <si>
    <t xml:space="preserve">Le stock aujourd'hui</t>
  </si>
  <si>
    <t xml:space="preserve">Nombre de produits</t>
  </si>
  <si>
    <t xml:space="preserve">Produits à commander</t>
  </si>
  <si>
    <t xml:space="preserve">La liste est dans l'onglet Produits (colonne État en orange)</t>
  </si>
  <si>
    <t xml:space="preserve">Produits en rupture</t>
  </si>
  <si>
    <t xml:space="preserve">La liste est dans l'onglet Produits (colonne État en rouge)</t>
  </si>
  <si>
    <t xml:space="preserve">Le mois affiché</t>
  </si>
  <si>
    <t xml:space="preserve">Ventes moins le coût d'achat de ce qui a été vendu (hors loyer, transport, salaires)</t>
  </si>
  <si>
    <t xml:space="preserve">Taux de marge</t>
  </si>
  <si>
    <t xml:space="preserve">Produits</t>
  </si>
  <si>
    <t xml:space="preserve">Jaune = à remplir · Gris = calculé automatiquement · Supprimez les lignes EXEMPLE avant de commencer</t>
  </si>
  <si>
    <t xml:space="preserve">Code</t>
  </si>
  <si>
    <t xml:space="preserve">Produit</t>
  </si>
  <si>
    <t xml:space="preserve">Catégorie</t>
  </si>
  <si>
    <t xml:space="preserve">Unité</t>
  </si>
  <si>
    <t xml:space="preserve">Prix d'achat (1 unité)</t>
  </si>
  <si>
    <t xml:space="preserve">Prix de vente (1 unité)</t>
  </si>
  <si>
    <t xml:space="preserve">Stock de départ</t>
  </si>
  <si>
    <t xml:space="preserve">Seuil d'alerte</t>
  </si>
  <si>
    <t xml:space="preserve">Entrées</t>
  </si>
  <si>
    <t xml:space="preserve">Sorties</t>
  </si>
  <si>
    <t xml:space="preserve">Stock actuel</t>
  </si>
  <si>
    <t xml:space="preserve">Valeur du stock (prix d'achat)</t>
  </si>
  <si>
    <t xml:space="preserve">État</t>
  </si>
  <si>
    <t xml:space="preserve">Fournisseur</t>
  </si>
  <si>
    <t xml:space="preserve">Tél. fournisseur</t>
  </si>
  <si>
    <t xml:space="preserve">Quantité à commander</t>
  </si>
  <si>
    <t xml:space="preserve">P001</t>
  </si>
  <si>
    <t xml:space="preserve">EXEMPLE - Riz 25 kg</t>
  </si>
  <si>
    <t xml:space="preserve">Alimentation</t>
  </si>
  <si>
    <t xml:space="preserve">sac</t>
  </si>
  <si>
    <t xml:space="preserve">EXEMPLE - Grossiste A</t>
  </si>
  <si>
    <t xml:space="preserve">P002</t>
  </si>
  <si>
    <t xml:space="preserve">EXEMPLE - Huile 5 L</t>
  </si>
  <si>
    <t xml:space="preserve">bidon</t>
  </si>
  <si>
    <t xml:space="preserve">EXEMPLE - Grossiste B</t>
  </si>
  <si>
    <t xml:space="preserve">Mouvements de stock</t>
  </si>
  <si>
    <t xml:space="preserve">Une ligne par entrée (réception de marchandise) ou sortie (vente). Jaune = à remplir · Gris = automatique</t>
  </si>
  <si>
    <t xml:space="preserve">Date</t>
  </si>
  <si>
    <t xml:space="preserve">Code produit</t>
  </si>
  <si>
    <t xml:space="preserve">Type</t>
  </si>
  <si>
    <t xml:space="preserve">Quantité</t>
  </si>
  <si>
    <t xml:space="preserve">Prix unitaire</t>
  </si>
  <si>
    <t xml:space="preserve">Montant</t>
  </si>
  <si>
    <t xml:space="preserve">Coût d'achat (pour la marge)</t>
  </si>
  <si>
    <t xml:space="preserve">Note (client, fournisseur…)</t>
  </si>
  <si>
    <t xml:space="preserve">Entrée</t>
  </si>
  <si>
    <t xml:space="preserve">EXEMPLE - livraison fournisseur</t>
  </si>
  <si>
    <t xml:space="preserve">Sortie</t>
  </si>
  <si>
    <t xml:space="preserve">EXEMPLE - vente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</si>
</sst>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m\ yyyy"/>
    <numFmt numFmtId="166" formatCode="0"/>
    <numFmt numFmtId="167" formatCode="#,##0;\-#,##0;\-"/>
    <numFmt numFmtId="168" formatCode="0.0%"/>
    <numFmt numFmtId="169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CD9A8"/>
        </patternFill>
      </fill>
    </dxf>
    <dxf>
      <fill>
        <patternFill>
          <bgColor rgb="FFF4B6B6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B6B6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CD9A8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6B6"/>
      <rgbColor rgb="FFCC99FF"/>
      <rgbColor rgb="FFFCD9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2.05" hidden="false" customHeight="false" outlineLevel="0" collapsed="false">
      <c r="B1" s="1" t="s">
        <v>0</v>
      </c>
    </row>
    <row r="3" customFormat="false" ht="21.75" hidden="false" customHeight="tru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</row>
    <row r="6" customFormat="false" ht="21.75" hidden="false" customHeight="true" outlineLevel="0" collapsed="false">
      <c r="B6" s="2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5" t="s">
        <v>5</v>
      </c>
    </row>
    <row r="10" customFormat="false" ht="21.75" hidden="false" customHeight="true" outlineLevel="0" collapsed="false">
      <c r="B10" s="2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23.85" hidden="false" customHeight="false" outlineLevel="0" collapsed="false">
      <c r="B16" s="3" t="s">
        <v>11</v>
      </c>
    </row>
    <row r="17" customFormat="false" ht="21.75" hidden="false" customHeight="true" outlineLevel="0" collapsed="false">
      <c r="B17" s="2" t="s">
        <v>12</v>
      </c>
    </row>
    <row r="19" customFormat="false" ht="23.8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21.75" hidden="false" customHeight="true" outlineLevel="0" collapsed="false">
      <c r="B21" s="2" t="s">
        <v>15</v>
      </c>
    </row>
    <row r="23" customFormat="false" ht="23.8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21.75" hidden="false" customHeight="true" outlineLevel="0" collapsed="false">
      <c r="B25" s="2" t="s">
        <v>18</v>
      </c>
    </row>
    <row r="27" customFormat="false" ht="23.85" hidden="false" customHeight="false" outlineLevel="0" collapsed="false">
      <c r="B27" s="3" t="s">
        <v>19</v>
      </c>
    </row>
    <row r="28" customFormat="false" ht="15" hidden="false" customHeight="false" outlineLevel="0" collapsed="false">
      <c r="B28" s="3" t="s">
        <v>20</v>
      </c>
    </row>
    <row r="29" customFormat="false" ht="15" hidden="false" customHeight="false" outlineLevel="0" collapsed="false">
      <c r="B29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50"/>
  </cols>
  <sheetData>
    <row r="1" customFormat="false" ht="22.05" hidden="false" customHeight="false" outlineLevel="0" collapsed="false">
      <c r="B1" s="1" t="s">
        <v>22</v>
      </c>
    </row>
    <row r="3" customFormat="false" ht="15" hidden="false" customHeight="false" outlineLevel="0" collapsed="false">
      <c r="B3" s="6" t="s">
        <v>23</v>
      </c>
      <c r="C3" s="7" t="s">
        <v>24</v>
      </c>
      <c r="D3" s="8" t="s">
        <v>25</v>
      </c>
    </row>
    <row r="4" customFormat="false" ht="15" hidden="false" customHeight="false" outlineLevel="0" collapsed="false">
      <c r="B4" s="6" t="s">
        <v>26</v>
      </c>
      <c r="C4" s="9" t="n">
        <f aca="true">TODAY()</f>
        <v>46306</v>
      </c>
      <c r="D4" s="8" t="s">
        <v>27</v>
      </c>
    </row>
    <row r="6" customFormat="false" ht="15" hidden="false" customHeight="false" outlineLevel="0" collapsed="false">
      <c r="B6" s="10" t="s">
        <v>28</v>
      </c>
    </row>
    <row r="7" customFormat="false" ht="19.5" hidden="false" customHeight="true" outlineLevel="0" collapsed="false">
      <c r="B7" s="11" t="s">
        <v>29</v>
      </c>
      <c r="C7" s="12" t="n">
        <f aca="false">COUNTA(Produits!$A$5:$A$204)</f>
        <v>2</v>
      </c>
    </row>
    <row r="8" customFormat="false" ht="19.5" hidden="false" customHeight="true" outlineLevel="0" collapsed="false">
      <c r="B8" s="11" t="str">
        <f aca="false">"Valeur du stock ("&amp;$C$3&amp;", prix d'achat)"</f>
        <v>Valeur du stock ($, prix d'achat)</v>
      </c>
      <c r="C8" s="13" t="n">
        <f aca="false">SUM(Produits!$L$5:$L$204)</f>
        <v>816</v>
      </c>
    </row>
    <row r="9" customFormat="false" ht="19.5" hidden="false" customHeight="true" outlineLevel="0" collapsed="false">
      <c r="B9" s="11" t="s">
        <v>30</v>
      </c>
      <c r="C9" s="12" t="n">
        <f aca="false">COUNTIF(Produits!$M$5:$M$204,"À commander")</f>
        <v>1</v>
      </c>
      <c r="D9" s="14" t="s">
        <v>31</v>
      </c>
    </row>
    <row r="10" customFormat="false" ht="19.5" hidden="false" customHeight="true" outlineLevel="0" collapsed="false">
      <c r="B10" s="11" t="s">
        <v>32</v>
      </c>
      <c r="C10" s="12" t="n">
        <f aca="false">COUNTIF(Produits!$M$5:$M$204,"Rupture")</f>
        <v>0</v>
      </c>
      <c r="D10" s="14" t="s">
        <v>33</v>
      </c>
    </row>
    <row r="11" customFormat="false" ht="15" hidden="false" customHeight="false" outlineLevel="0" collapsed="false">
      <c r="B11" s="10" t="s">
        <v>34</v>
      </c>
    </row>
    <row r="12" customFormat="false" ht="19.5" hidden="false" customHeight="true" outlineLevel="0" collapsed="false">
      <c r="B12" s="11" t="str">
        <f aca="false">"Ventes ("&amp;$C$3&amp;")"</f>
        <v>Ventes ($)</v>
      </c>
      <c r="C12" s="13" t="n">
        <f aca="false">SUMIFS(Mouvements!$G$5:$G$1004,Mouvements!$A$5:$A$1004,"&gt;="&amp;DATE(YEAR($C$4),MONTH($C$4),1),Mouvements!$A$5:$A$1004,"&lt;"&amp;DATE(YEAR($C$4),MONTH($C$4)+1,1),Mouvements!$D$5:$D$1004,"Sortie")</f>
        <v>249</v>
      </c>
    </row>
    <row r="13" customFormat="false" ht="19.5" hidden="false" customHeight="true" outlineLevel="0" collapsed="false">
      <c r="B13" s="11" t="str">
        <f aca="false">"Achats de marchandise ("&amp;$C$3&amp;")"</f>
        <v>Achats de marchandise ($)</v>
      </c>
      <c r="C13" s="13" t="n">
        <f aca="false">SUMIFS(Mouvements!$G$5:$G$1004,Mouvements!$A$5:$A$1004,"&gt;="&amp;DATE(YEAR($C$4),MONTH($C$4),1),Mouvements!$A$5:$A$1004,"&lt;"&amp;DATE(YEAR($C$4),MONTH($C$4)+1,1),Mouvements!$D$5:$D$1004,"Entrée")</f>
        <v>300</v>
      </c>
    </row>
    <row r="14" customFormat="false" ht="19.5" hidden="false" customHeight="true" outlineLevel="0" collapsed="false">
      <c r="B14" s="11" t="str">
        <f aca="false">"Coût d'achat des produits vendus ("&amp;$C$3&amp;")"</f>
        <v>Coût d'achat des produits vendus ($)</v>
      </c>
      <c r="C14" s="13" t="n">
        <f aca="false">SUMIFS(Mouvements!$H$5:$H$1004,Mouvements!$A$5:$A$1004,"&gt;="&amp;DATE(YEAR($C$4),MONTH($C$4),1),Mouvements!$A$5:$A$1004,"&lt;"&amp;DATE(YEAR($C$4),MONTH($C$4)+1,1))</f>
        <v>204</v>
      </c>
    </row>
    <row r="15" customFormat="false" ht="19.5" hidden="false" customHeight="true" outlineLevel="0" collapsed="false">
      <c r="B15" s="11" t="str">
        <f aca="false">"Marge brute ("&amp;$C$3&amp;")"</f>
        <v>Marge brute ($)</v>
      </c>
      <c r="C15" s="13" t="n">
        <f aca="false">C12-C14</f>
        <v>45</v>
      </c>
      <c r="D15" s="14" t="s">
        <v>35</v>
      </c>
    </row>
    <row r="16" customFormat="false" ht="19.5" hidden="false" customHeight="true" outlineLevel="0" collapsed="false">
      <c r="B16" s="11" t="s">
        <v>36</v>
      </c>
      <c r="C16" s="15" t="n">
        <f aca="false">IF(C12=0,"-",C15/C12)</f>
        <v>0.180722891566265</v>
      </c>
    </row>
  </sheetData>
  <conditionalFormatting sqref="C9">
    <cfRule type="cellIs" priority="2" operator="greaterThan" aboveAverage="0" equalAverage="0" bottom="0" percent="0" rank="0" text="" dxfId="0">
      <formula>0</formula>
    </cfRule>
  </conditionalFormatting>
  <conditionalFormatting sqref="C10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3"/>
  </cols>
  <sheetData>
    <row r="1" customFormat="false" ht="25.5" hidden="false" customHeight="true" outlineLevel="0" collapsed="false">
      <c r="A1" s="16" t="s">
        <v>37</v>
      </c>
    </row>
    <row r="2" customFormat="false" ht="15" hidden="false" customHeight="false" outlineLevel="0" collapsed="false">
      <c r="A2" s="17" t="s">
        <v>38</v>
      </c>
    </row>
    <row r="4" customFormat="false" ht="31.5" hidden="false" customHeight="true" outlineLevel="0" collapsed="false">
      <c r="A4" s="18" t="s">
        <v>39</v>
      </c>
      <c r="B4" s="18" t="s">
        <v>40</v>
      </c>
      <c r="C4" s="18" t="s">
        <v>41</v>
      </c>
      <c r="D4" s="18" t="s">
        <v>42</v>
      </c>
      <c r="E4" s="18" t="s">
        <v>43</v>
      </c>
      <c r="F4" s="18" t="s">
        <v>44</v>
      </c>
      <c r="G4" s="18" t="s">
        <v>45</v>
      </c>
      <c r="H4" s="18" t="s">
        <v>46</v>
      </c>
      <c r="I4" s="18" t="s">
        <v>47</v>
      </c>
      <c r="J4" s="18" t="s">
        <v>48</v>
      </c>
      <c r="K4" s="18" t="s">
        <v>49</v>
      </c>
      <c r="L4" s="18" t="s">
        <v>50</v>
      </c>
      <c r="M4" s="18" t="s">
        <v>51</v>
      </c>
      <c r="N4" s="18" t="s">
        <v>52</v>
      </c>
      <c r="O4" s="18" t="s">
        <v>53</v>
      </c>
      <c r="P4" s="18" t="s">
        <v>54</v>
      </c>
    </row>
    <row r="5" customFormat="false" ht="15" hidden="false" customHeight="false" outlineLevel="0" collapsed="false">
      <c r="A5" s="19" t="s">
        <v>55</v>
      </c>
      <c r="B5" s="19" t="s">
        <v>56</v>
      </c>
      <c r="C5" s="19" t="s">
        <v>57</v>
      </c>
      <c r="D5" s="19" t="s">
        <v>58</v>
      </c>
      <c r="E5" s="20" t="n">
        <v>30</v>
      </c>
      <c r="F5" s="20" t="n">
        <v>36</v>
      </c>
      <c r="G5" s="20" t="n">
        <v>20</v>
      </c>
      <c r="H5" s="20" t="n">
        <v>5</v>
      </c>
      <c r="I5" s="21" t="n">
        <f aca="false">IF($A5="","",SUMIFS(Mouvements!$E$5:$E$1004,Mouvements!$B$5:$B$1004,$A5,Mouvements!$D$5:$D$1004,"Entrée"))</f>
        <v>10</v>
      </c>
      <c r="J5" s="21" t="n">
        <f aca="false">IF($A5="","",SUMIFS(Mouvements!$E$5:$E$1004,Mouvements!$B$5:$B$1004,$A5,Mouvements!$D$5:$D$1004,"Sortie"))</f>
        <v>4</v>
      </c>
      <c r="K5" s="21" t="n">
        <f aca="false">IF($A5="","",N($G5)+$I5-$J5)</f>
        <v>26</v>
      </c>
      <c r="L5" s="21" t="n">
        <f aca="false">IF($A5="","",$K5*N($E5))</f>
        <v>780</v>
      </c>
      <c r="M5" s="22" t="str">
        <f aca="false">IF($A5="","",IF($K5&lt;=0,"Rupture",IF($K5&lt;=N($H5),"À commander","OK")))</f>
        <v>OK</v>
      </c>
      <c r="N5" s="19" t="s">
        <v>59</v>
      </c>
      <c r="O5" s="23"/>
      <c r="P5" s="21" t="n">
        <f aca="false">IF($A5="","",IF($K5&lt;=N($H5),MAX(0,2*N($H5)-$K5),0))</f>
        <v>0</v>
      </c>
    </row>
    <row r="6" customFormat="false" ht="15" hidden="false" customHeight="false" outlineLevel="0" collapsed="false">
      <c r="A6" s="19" t="s">
        <v>60</v>
      </c>
      <c r="B6" s="19" t="s">
        <v>61</v>
      </c>
      <c r="C6" s="19" t="s">
        <v>57</v>
      </c>
      <c r="D6" s="19" t="s">
        <v>62</v>
      </c>
      <c r="E6" s="20" t="n">
        <v>12</v>
      </c>
      <c r="F6" s="20" t="n">
        <v>15</v>
      </c>
      <c r="G6" s="20" t="n">
        <v>10</v>
      </c>
      <c r="H6" s="20" t="n">
        <v>4</v>
      </c>
      <c r="I6" s="21" t="n">
        <f aca="false">IF($A6="","",SUMIFS(Mouvements!$E$5:$E$1004,Mouvements!$B$5:$B$1004,$A6,Mouvements!$D$5:$D$1004,"Entrée"))</f>
        <v>0</v>
      </c>
      <c r="J6" s="21" t="n">
        <f aca="false">IF($A6="","",SUMIFS(Mouvements!$E$5:$E$1004,Mouvements!$B$5:$B$1004,$A6,Mouvements!$D$5:$D$1004,"Sortie"))</f>
        <v>7</v>
      </c>
      <c r="K6" s="21" t="n">
        <f aca="false">IF($A6="","",N($G6)+$I6-$J6)</f>
        <v>3</v>
      </c>
      <c r="L6" s="21" t="n">
        <f aca="false">IF($A6="","",$K6*N($E6))</f>
        <v>36</v>
      </c>
      <c r="M6" s="22" t="str">
        <f aca="false">IF($A6="","",IF($K6&lt;=0,"Rupture",IF($K6&lt;=N($H6),"À commander","OK")))</f>
        <v>À commander</v>
      </c>
      <c r="N6" s="19" t="s">
        <v>63</v>
      </c>
      <c r="O6" s="23"/>
      <c r="P6" s="21" t="n">
        <f aca="false">IF($A6="","",IF($K6&lt;=N($H6),MAX(0,2*N($H6)-$K6),0))</f>
        <v>5</v>
      </c>
    </row>
    <row r="7" customFormat="false" ht="15" hidden="false" customHeight="false" outlineLevel="0" collapsed="false">
      <c r="A7" s="23"/>
      <c r="B7" s="23"/>
      <c r="C7" s="23"/>
      <c r="D7" s="23"/>
      <c r="E7" s="24"/>
      <c r="F7" s="24"/>
      <c r="G7" s="24"/>
      <c r="H7" s="24"/>
      <c r="I7" s="21" t="str">
        <f aca="false">IF($A7="","",SUMIFS(Mouvements!$E$5:$E$1004,Mouvements!$B$5:$B$1004,$A7,Mouvements!$D$5:$D$1004,"Entrée"))</f>
        <v/>
      </c>
      <c r="J7" s="21" t="str">
        <f aca="false">IF($A7="","",SUMIFS(Mouvements!$E$5:$E$1004,Mouvements!$B$5:$B$1004,$A7,Mouvements!$D$5:$D$1004,"Sortie"))</f>
        <v/>
      </c>
      <c r="K7" s="21" t="str">
        <f aca="false">IF($A7="","",N($G7)+$I7-$J7)</f>
        <v/>
      </c>
      <c r="L7" s="21" t="str">
        <f aca="false">IF($A7="","",$K7*N($E7))</f>
        <v/>
      </c>
      <c r="M7" s="22" t="str">
        <f aca="false">IF($A7="","",IF($K7&lt;=0,"Rupture",IF($K7&lt;=N($H7),"À commander","OK")))</f>
        <v/>
      </c>
      <c r="N7" s="23"/>
      <c r="O7" s="23"/>
      <c r="P7" s="21" t="str">
        <f aca="false">IF($A7="","",IF($K7&lt;=N($H7),MAX(0,2*N($H7)-$K7),0))</f>
        <v/>
      </c>
    </row>
    <row r="8" customFormat="false" ht="15" hidden="false" customHeight="false" outlineLevel="0" collapsed="false">
      <c r="A8" s="23"/>
      <c r="B8" s="23"/>
      <c r="C8" s="23"/>
      <c r="D8" s="23"/>
      <c r="E8" s="24"/>
      <c r="F8" s="24"/>
      <c r="G8" s="24"/>
      <c r="H8" s="24"/>
      <c r="I8" s="21" t="str">
        <f aca="false">IF($A8="","",SUMIFS(Mouvements!$E$5:$E$1004,Mouvements!$B$5:$B$1004,$A8,Mouvements!$D$5:$D$1004,"Entrée"))</f>
        <v/>
      </c>
      <c r="J8" s="21" t="str">
        <f aca="false">IF($A8="","",SUMIFS(Mouvements!$E$5:$E$1004,Mouvements!$B$5:$B$1004,$A8,Mouvements!$D$5:$D$1004,"Sortie"))</f>
        <v/>
      </c>
      <c r="K8" s="21" t="str">
        <f aca="false">IF($A8="","",N($G8)+$I8-$J8)</f>
        <v/>
      </c>
      <c r="L8" s="21" t="str">
        <f aca="false">IF($A8="","",$K8*N($E8))</f>
        <v/>
      </c>
      <c r="M8" s="22" t="str">
        <f aca="false">IF($A8="","",IF($K8&lt;=0,"Rupture",IF($K8&lt;=N($H8),"À commander","OK")))</f>
        <v/>
      </c>
      <c r="N8" s="23"/>
      <c r="O8" s="23"/>
      <c r="P8" s="21" t="str">
        <f aca="false">IF($A8="","",IF($K8&lt;=N($H8),MAX(0,2*N($H8)-$K8),0))</f>
        <v/>
      </c>
    </row>
    <row r="9" customFormat="false" ht="15" hidden="false" customHeight="false" outlineLevel="0" collapsed="false">
      <c r="A9" s="23"/>
      <c r="B9" s="23"/>
      <c r="C9" s="23"/>
      <c r="D9" s="23"/>
      <c r="E9" s="24"/>
      <c r="F9" s="24"/>
      <c r="G9" s="24"/>
      <c r="H9" s="24"/>
      <c r="I9" s="21" t="str">
        <f aca="false">IF($A9="","",SUMIFS(Mouvements!$E$5:$E$1004,Mouvements!$B$5:$B$1004,$A9,Mouvements!$D$5:$D$1004,"Entrée"))</f>
        <v/>
      </c>
      <c r="J9" s="21" t="str">
        <f aca="false">IF($A9="","",SUMIFS(Mouvements!$E$5:$E$1004,Mouvements!$B$5:$B$1004,$A9,Mouvements!$D$5:$D$1004,"Sortie"))</f>
        <v/>
      </c>
      <c r="K9" s="21" t="str">
        <f aca="false">IF($A9="","",N($G9)+$I9-$J9)</f>
        <v/>
      </c>
      <c r="L9" s="21" t="str">
        <f aca="false">IF($A9="","",$K9*N($E9))</f>
        <v/>
      </c>
      <c r="M9" s="22" t="str">
        <f aca="false">IF($A9="","",IF($K9&lt;=0,"Rupture",IF($K9&lt;=N($H9),"À commander","OK")))</f>
        <v/>
      </c>
      <c r="N9" s="23"/>
      <c r="O9" s="23"/>
      <c r="P9" s="21" t="str">
        <f aca="false">IF($A9="","",IF($K9&lt;=N($H9),MAX(0,2*N($H9)-$K9),0))</f>
        <v/>
      </c>
    </row>
    <row r="10" customFormat="false" ht="15" hidden="false" customHeight="false" outlineLevel="0" collapsed="false">
      <c r="A10" s="23"/>
      <c r="B10" s="23"/>
      <c r="C10" s="23"/>
      <c r="D10" s="23"/>
      <c r="E10" s="24"/>
      <c r="F10" s="24"/>
      <c r="G10" s="24"/>
      <c r="H10" s="24"/>
      <c r="I10" s="21" t="str">
        <f aca="false">IF($A10="","",SUMIFS(Mouvements!$E$5:$E$1004,Mouvements!$B$5:$B$1004,$A10,Mouvements!$D$5:$D$1004,"Entrée"))</f>
        <v/>
      </c>
      <c r="J10" s="21" t="str">
        <f aca="false">IF($A10="","",SUMIFS(Mouvements!$E$5:$E$1004,Mouvements!$B$5:$B$1004,$A10,Mouvements!$D$5:$D$1004,"Sortie"))</f>
        <v/>
      </c>
      <c r="K10" s="21" t="str">
        <f aca="false">IF($A10="","",N($G10)+$I10-$J10)</f>
        <v/>
      </c>
      <c r="L10" s="21" t="str">
        <f aca="false">IF($A10="","",$K10*N($E10))</f>
        <v/>
      </c>
      <c r="M10" s="22" t="str">
        <f aca="false">IF($A10="","",IF($K10&lt;=0,"Rupture",IF($K10&lt;=N($H10),"À commander","OK")))</f>
        <v/>
      </c>
      <c r="N10" s="23"/>
      <c r="O10" s="23"/>
      <c r="P10" s="21" t="str">
        <f aca="false">IF($A10="","",IF($K10&lt;=N($H10),MAX(0,2*N($H10)-$K10),0))</f>
        <v/>
      </c>
    </row>
    <row r="11" customFormat="false" ht="15" hidden="false" customHeight="false" outlineLevel="0" collapsed="false">
      <c r="A11" s="23"/>
      <c r="B11" s="23"/>
      <c r="C11" s="23"/>
      <c r="D11" s="23"/>
      <c r="E11" s="24"/>
      <c r="F11" s="24"/>
      <c r="G11" s="24"/>
      <c r="H11" s="24"/>
      <c r="I11" s="21" t="str">
        <f aca="false">IF($A11="","",SUMIFS(Mouvements!$E$5:$E$1004,Mouvements!$B$5:$B$1004,$A11,Mouvements!$D$5:$D$1004,"Entrée"))</f>
        <v/>
      </c>
      <c r="J11" s="21" t="str">
        <f aca="false">IF($A11="","",SUMIFS(Mouvements!$E$5:$E$1004,Mouvements!$B$5:$B$1004,$A11,Mouvements!$D$5:$D$1004,"Sortie"))</f>
        <v/>
      </c>
      <c r="K11" s="21" t="str">
        <f aca="false">IF($A11="","",N($G11)+$I11-$J11)</f>
        <v/>
      </c>
      <c r="L11" s="21" t="str">
        <f aca="false">IF($A11="","",$K11*N($E11))</f>
        <v/>
      </c>
      <c r="M11" s="22" t="str">
        <f aca="false">IF($A11="","",IF($K11&lt;=0,"Rupture",IF($K11&lt;=N($H11),"À commander","OK")))</f>
        <v/>
      </c>
      <c r="N11" s="23"/>
      <c r="O11" s="23"/>
      <c r="P11" s="21" t="str">
        <f aca="false">IF($A11="","",IF($K11&lt;=N($H11),MAX(0,2*N($H11)-$K11),0))</f>
        <v/>
      </c>
    </row>
    <row r="12" customFormat="false" ht="15" hidden="false" customHeight="false" outlineLevel="0" collapsed="false">
      <c r="A12" s="23"/>
      <c r="B12" s="23"/>
      <c r="C12" s="23"/>
      <c r="D12" s="23"/>
      <c r="E12" s="24"/>
      <c r="F12" s="24"/>
      <c r="G12" s="24"/>
      <c r="H12" s="24"/>
      <c r="I12" s="21" t="str">
        <f aca="false">IF($A12="","",SUMIFS(Mouvements!$E$5:$E$1004,Mouvements!$B$5:$B$1004,$A12,Mouvements!$D$5:$D$1004,"Entrée"))</f>
        <v/>
      </c>
      <c r="J12" s="21" t="str">
        <f aca="false">IF($A12="","",SUMIFS(Mouvements!$E$5:$E$1004,Mouvements!$B$5:$B$1004,$A12,Mouvements!$D$5:$D$1004,"Sortie"))</f>
        <v/>
      </c>
      <c r="K12" s="21" t="str">
        <f aca="false">IF($A12="","",N($G12)+$I12-$J12)</f>
        <v/>
      </c>
      <c r="L12" s="21" t="str">
        <f aca="false">IF($A12="","",$K12*N($E12))</f>
        <v/>
      </c>
      <c r="M12" s="22" t="str">
        <f aca="false">IF($A12="","",IF($K12&lt;=0,"Rupture",IF($K12&lt;=N($H12),"À commander","OK")))</f>
        <v/>
      </c>
      <c r="N12" s="23"/>
      <c r="O12" s="23"/>
      <c r="P12" s="21" t="str">
        <f aca="false">IF($A12="","",IF($K12&lt;=N($H12),MAX(0,2*N($H12)-$K12),0))</f>
        <v/>
      </c>
    </row>
    <row r="13" customFormat="false" ht="15" hidden="false" customHeight="false" outlineLevel="0" collapsed="false">
      <c r="A13" s="23"/>
      <c r="B13" s="23"/>
      <c r="C13" s="23"/>
      <c r="D13" s="23"/>
      <c r="E13" s="24"/>
      <c r="F13" s="24"/>
      <c r="G13" s="24"/>
      <c r="H13" s="24"/>
      <c r="I13" s="21" t="str">
        <f aca="false">IF($A13="","",SUMIFS(Mouvements!$E$5:$E$1004,Mouvements!$B$5:$B$1004,$A13,Mouvements!$D$5:$D$1004,"Entrée"))</f>
        <v/>
      </c>
      <c r="J13" s="21" t="str">
        <f aca="false">IF($A13="","",SUMIFS(Mouvements!$E$5:$E$1004,Mouvements!$B$5:$B$1004,$A13,Mouvements!$D$5:$D$1004,"Sortie"))</f>
        <v/>
      </c>
      <c r="K13" s="21" t="str">
        <f aca="false">IF($A13="","",N($G13)+$I13-$J13)</f>
        <v/>
      </c>
      <c r="L13" s="21" t="str">
        <f aca="false">IF($A13="","",$K13*N($E13))</f>
        <v/>
      </c>
      <c r="M13" s="22" t="str">
        <f aca="false">IF($A13="","",IF($K13&lt;=0,"Rupture",IF($K13&lt;=N($H13),"À commander","OK")))</f>
        <v/>
      </c>
      <c r="N13" s="23"/>
      <c r="O13" s="23"/>
      <c r="P13" s="21" t="str">
        <f aca="false">IF($A13="","",IF($K13&lt;=N($H13),MAX(0,2*N($H13)-$K13),0))</f>
        <v/>
      </c>
    </row>
    <row r="14" customFormat="false" ht="15" hidden="false" customHeight="false" outlineLevel="0" collapsed="false">
      <c r="A14" s="23"/>
      <c r="B14" s="23"/>
      <c r="C14" s="23"/>
      <c r="D14" s="23"/>
      <c r="E14" s="24"/>
      <c r="F14" s="24"/>
      <c r="G14" s="24"/>
      <c r="H14" s="24"/>
      <c r="I14" s="21" t="str">
        <f aca="false">IF($A14="","",SUMIFS(Mouvements!$E$5:$E$1004,Mouvements!$B$5:$B$1004,$A14,Mouvements!$D$5:$D$1004,"Entrée"))</f>
        <v/>
      </c>
      <c r="J14" s="21" t="str">
        <f aca="false">IF($A14="","",SUMIFS(Mouvements!$E$5:$E$1004,Mouvements!$B$5:$B$1004,$A14,Mouvements!$D$5:$D$1004,"Sortie"))</f>
        <v/>
      </c>
      <c r="K14" s="21" t="str">
        <f aca="false">IF($A14="","",N($G14)+$I14-$J14)</f>
        <v/>
      </c>
      <c r="L14" s="21" t="str">
        <f aca="false">IF($A14="","",$K14*N($E14))</f>
        <v/>
      </c>
      <c r="M14" s="22" t="str">
        <f aca="false">IF($A14="","",IF($K14&lt;=0,"Rupture",IF($K14&lt;=N($H14),"À commander","OK")))</f>
        <v/>
      </c>
      <c r="N14" s="23"/>
      <c r="O14" s="23"/>
      <c r="P14" s="21" t="str">
        <f aca="false">IF($A14="","",IF($K14&lt;=N($H14),MAX(0,2*N($H14)-$K14),0))</f>
        <v/>
      </c>
    </row>
    <row r="15" customFormat="false" ht="15" hidden="false" customHeight="false" outlineLevel="0" collapsed="false">
      <c r="A15" s="23"/>
      <c r="B15" s="23"/>
      <c r="C15" s="23"/>
      <c r="D15" s="23"/>
      <c r="E15" s="24"/>
      <c r="F15" s="24"/>
      <c r="G15" s="24"/>
      <c r="H15" s="24"/>
      <c r="I15" s="21" t="str">
        <f aca="false">IF($A15="","",SUMIFS(Mouvements!$E$5:$E$1004,Mouvements!$B$5:$B$1004,$A15,Mouvements!$D$5:$D$1004,"Entrée"))</f>
        <v/>
      </c>
      <c r="J15" s="21" t="str">
        <f aca="false">IF($A15="","",SUMIFS(Mouvements!$E$5:$E$1004,Mouvements!$B$5:$B$1004,$A15,Mouvements!$D$5:$D$1004,"Sortie"))</f>
        <v/>
      </c>
      <c r="K15" s="21" t="str">
        <f aca="false">IF($A15="","",N($G15)+$I15-$J15)</f>
        <v/>
      </c>
      <c r="L15" s="21" t="str">
        <f aca="false">IF($A15="","",$K15*N($E15))</f>
        <v/>
      </c>
      <c r="M15" s="22" t="str">
        <f aca="false">IF($A15="","",IF($K15&lt;=0,"Rupture",IF($K15&lt;=N($H15),"À commander","OK")))</f>
        <v/>
      </c>
      <c r="N15" s="23"/>
      <c r="O15" s="23"/>
      <c r="P15" s="21" t="str">
        <f aca="false">IF($A15="","",IF($K15&lt;=N($H15),MAX(0,2*N($H15)-$K15),0))</f>
        <v/>
      </c>
    </row>
    <row r="16" customFormat="false" ht="15" hidden="false" customHeight="false" outlineLevel="0" collapsed="false">
      <c r="A16" s="23"/>
      <c r="B16" s="23"/>
      <c r="C16" s="23"/>
      <c r="D16" s="23"/>
      <c r="E16" s="24"/>
      <c r="F16" s="24"/>
      <c r="G16" s="24"/>
      <c r="H16" s="24"/>
      <c r="I16" s="21" t="str">
        <f aca="false">IF($A16="","",SUMIFS(Mouvements!$E$5:$E$1004,Mouvements!$B$5:$B$1004,$A16,Mouvements!$D$5:$D$1004,"Entrée"))</f>
        <v/>
      </c>
      <c r="J16" s="21" t="str">
        <f aca="false">IF($A16="","",SUMIFS(Mouvements!$E$5:$E$1004,Mouvements!$B$5:$B$1004,$A16,Mouvements!$D$5:$D$1004,"Sortie"))</f>
        <v/>
      </c>
      <c r="K16" s="21" t="str">
        <f aca="false">IF($A16="","",N($G16)+$I16-$J16)</f>
        <v/>
      </c>
      <c r="L16" s="21" t="str">
        <f aca="false">IF($A16="","",$K16*N($E16))</f>
        <v/>
      </c>
      <c r="M16" s="22" t="str">
        <f aca="false">IF($A16="","",IF($K16&lt;=0,"Rupture",IF($K16&lt;=N($H16),"À commander","OK")))</f>
        <v/>
      </c>
      <c r="N16" s="23"/>
      <c r="O16" s="23"/>
      <c r="P16" s="21" t="str">
        <f aca="false">IF($A16="","",IF($K16&lt;=N($H16),MAX(0,2*N($H16)-$K16),0))</f>
        <v/>
      </c>
    </row>
    <row r="17" customFormat="false" ht="15" hidden="false" customHeight="false" outlineLevel="0" collapsed="false">
      <c r="A17" s="23"/>
      <c r="B17" s="23"/>
      <c r="C17" s="23"/>
      <c r="D17" s="23"/>
      <c r="E17" s="24"/>
      <c r="F17" s="24"/>
      <c r="G17" s="24"/>
      <c r="H17" s="24"/>
      <c r="I17" s="21" t="str">
        <f aca="false">IF($A17="","",SUMIFS(Mouvements!$E$5:$E$1004,Mouvements!$B$5:$B$1004,$A17,Mouvements!$D$5:$D$1004,"Entrée"))</f>
        <v/>
      </c>
      <c r="J17" s="21" t="str">
        <f aca="false">IF($A17="","",SUMIFS(Mouvements!$E$5:$E$1004,Mouvements!$B$5:$B$1004,$A17,Mouvements!$D$5:$D$1004,"Sortie"))</f>
        <v/>
      </c>
      <c r="K17" s="21" t="str">
        <f aca="false">IF($A17="","",N($G17)+$I17-$J17)</f>
        <v/>
      </c>
      <c r="L17" s="21" t="str">
        <f aca="false">IF($A17="","",$K17*N($E17))</f>
        <v/>
      </c>
      <c r="M17" s="22" t="str">
        <f aca="false">IF($A17="","",IF($K17&lt;=0,"Rupture",IF($K17&lt;=N($H17),"À commander","OK")))</f>
        <v/>
      </c>
      <c r="N17" s="23"/>
      <c r="O17" s="23"/>
      <c r="P17" s="21" t="str">
        <f aca="false">IF($A17="","",IF($K17&lt;=N($H17),MAX(0,2*N($H17)-$K17),0))</f>
        <v/>
      </c>
    </row>
    <row r="18" customFormat="false" ht="15" hidden="false" customHeight="false" outlineLevel="0" collapsed="false">
      <c r="A18" s="23"/>
      <c r="B18" s="23"/>
      <c r="C18" s="23"/>
      <c r="D18" s="23"/>
      <c r="E18" s="24"/>
      <c r="F18" s="24"/>
      <c r="G18" s="24"/>
      <c r="H18" s="24"/>
      <c r="I18" s="21" t="str">
        <f aca="false">IF($A18="","",SUMIFS(Mouvements!$E$5:$E$1004,Mouvements!$B$5:$B$1004,$A18,Mouvements!$D$5:$D$1004,"Entrée"))</f>
        <v/>
      </c>
      <c r="J18" s="21" t="str">
        <f aca="false">IF($A18="","",SUMIFS(Mouvements!$E$5:$E$1004,Mouvements!$B$5:$B$1004,$A18,Mouvements!$D$5:$D$1004,"Sortie"))</f>
        <v/>
      </c>
      <c r="K18" s="21" t="str">
        <f aca="false">IF($A18="","",N($G18)+$I18-$J18)</f>
        <v/>
      </c>
      <c r="L18" s="21" t="str">
        <f aca="false">IF($A18="","",$K18*N($E18))</f>
        <v/>
      </c>
      <c r="M18" s="22" t="str">
        <f aca="false">IF($A18="","",IF($K18&lt;=0,"Rupture",IF($K18&lt;=N($H18),"À commander","OK")))</f>
        <v/>
      </c>
      <c r="N18" s="23"/>
      <c r="O18" s="23"/>
      <c r="P18" s="21" t="str">
        <f aca="false">IF($A18="","",IF($K18&lt;=N($H18),MAX(0,2*N($H18)-$K18),0))</f>
        <v/>
      </c>
    </row>
    <row r="19" customFormat="false" ht="15" hidden="false" customHeight="false" outlineLevel="0" collapsed="false">
      <c r="A19" s="23"/>
      <c r="B19" s="23"/>
      <c r="C19" s="23"/>
      <c r="D19" s="23"/>
      <c r="E19" s="24"/>
      <c r="F19" s="24"/>
      <c r="G19" s="24"/>
      <c r="H19" s="24"/>
      <c r="I19" s="21" t="str">
        <f aca="false">IF($A19="","",SUMIFS(Mouvements!$E$5:$E$1004,Mouvements!$B$5:$B$1004,$A19,Mouvements!$D$5:$D$1004,"Entrée"))</f>
        <v/>
      </c>
      <c r="J19" s="21" t="str">
        <f aca="false">IF($A19="","",SUMIFS(Mouvements!$E$5:$E$1004,Mouvements!$B$5:$B$1004,$A19,Mouvements!$D$5:$D$1004,"Sortie"))</f>
        <v/>
      </c>
      <c r="K19" s="21" t="str">
        <f aca="false">IF($A19="","",N($G19)+$I19-$J19)</f>
        <v/>
      </c>
      <c r="L19" s="21" t="str">
        <f aca="false">IF($A19="","",$K19*N($E19))</f>
        <v/>
      </c>
      <c r="M19" s="22" t="str">
        <f aca="false">IF($A19="","",IF($K19&lt;=0,"Rupture",IF($K19&lt;=N($H19),"À commander","OK")))</f>
        <v/>
      </c>
      <c r="N19" s="23"/>
      <c r="O19" s="23"/>
      <c r="P19" s="21" t="str">
        <f aca="false">IF($A19="","",IF($K19&lt;=N($H19),MAX(0,2*N($H19)-$K19),0))</f>
        <v/>
      </c>
    </row>
    <row r="20" customFormat="false" ht="15" hidden="false" customHeight="false" outlineLevel="0" collapsed="false">
      <c r="A20" s="23"/>
      <c r="B20" s="23"/>
      <c r="C20" s="23"/>
      <c r="D20" s="23"/>
      <c r="E20" s="24"/>
      <c r="F20" s="24"/>
      <c r="G20" s="24"/>
      <c r="H20" s="24"/>
      <c r="I20" s="21" t="str">
        <f aca="false">IF($A20="","",SUMIFS(Mouvements!$E$5:$E$1004,Mouvements!$B$5:$B$1004,$A20,Mouvements!$D$5:$D$1004,"Entrée"))</f>
        <v/>
      </c>
      <c r="J20" s="21" t="str">
        <f aca="false">IF($A20="","",SUMIFS(Mouvements!$E$5:$E$1004,Mouvements!$B$5:$B$1004,$A20,Mouvements!$D$5:$D$1004,"Sortie"))</f>
        <v/>
      </c>
      <c r="K20" s="21" t="str">
        <f aca="false">IF($A20="","",N($G20)+$I20-$J20)</f>
        <v/>
      </c>
      <c r="L20" s="21" t="str">
        <f aca="false">IF($A20="","",$K20*N($E20))</f>
        <v/>
      </c>
      <c r="M20" s="22" t="str">
        <f aca="false">IF($A20="","",IF($K20&lt;=0,"Rupture",IF($K20&lt;=N($H20),"À commander","OK")))</f>
        <v/>
      </c>
      <c r="N20" s="23"/>
      <c r="O20" s="23"/>
      <c r="P20" s="21" t="str">
        <f aca="false">IF($A20="","",IF($K20&lt;=N($H20),MAX(0,2*N($H20)-$K20),0))</f>
        <v/>
      </c>
    </row>
    <row r="21" customFormat="false" ht="15" hidden="false" customHeight="false" outlineLevel="0" collapsed="false">
      <c r="A21" s="23"/>
      <c r="B21" s="23"/>
      <c r="C21" s="23"/>
      <c r="D21" s="23"/>
      <c r="E21" s="24"/>
      <c r="F21" s="24"/>
      <c r="G21" s="24"/>
      <c r="H21" s="24"/>
      <c r="I21" s="21" t="str">
        <f aca="false">IF($A21="","",SUMIFS(Mouvements!$E$5:$E$1004,Mouvements!$B$5:$B$1004,$A21,Mouvements!$D$5:$D$1004,"Entrée"))</f>
        <v/>
      </c>
      <c r="J21" s="21" t="str">
        <f aca="false">IF($A21="","",SUMIFS(Mouvements!$E$5:$E$1004,Mouvements!$B$5:$B$1004,$A21,Mouvements!$D$5:$D$1004,"Sortie"))</f>
        <v/>
      </c>
      <c r="K21" s="21" t="str">
        <f aca="false">IF($A21="","",N($G21)+$I21-$J21)</f>
        <v/>
      </c>
      <c r="L21" s="21" t="str">
        <f aca="false">IF($A21="","",$K21*N($E21))</f>
        <v/>
      </c>
      <c r="M21" s="22" t="str">
        <f aca="false">IF($A21="","",IF($K21&lt;=0,"Rupture",IF($K21&lt;=N($H21),"À commander","OK")))</f>
        <v/>
      </c>
      <c r="N21" s="23"/>
      <c r="O21" s="23"/>
      <c r="P21" s="21" t="str">
        <f aca="false">IF($A21="","",IF($K21&lt;=N($H21),MAX(0,2*N($H21)-$K21),0))</f>
        <v/>
      </c>
    </row>
    <row r="22" customFormat="false" ht="15" hidden="false" customHeight="false" outlineLevel="0" collapsed="false">
      <c r="A22" s="23"/>
      <c r="B22" s="23"/>
      <c r="C22" s="23"/>
      <c r="D22" s="23"/>
      <c r="E22" s="24"/>
      <c r="F22" s="24"/>
      <c r="G22" s="24"/>
      <c r="H22" s="24"/>
      <c r="I22" s="21" t="str">
        <f aca="false">IF($A22="","",SUMIFS(Mouvements!$E$5:$E$1004,Mouvements!$B$5:$B$1004,$A22,Mouvements!$D$5:$D$1004,"Entrée"))</f>
        <v/>
      </c>
      <c r="J22" s="21" t="str">
        <f aca="false">IF($A22="","",SUMIFS(Mouvements!$E$5:$E$1004,Mouvements!$B$5:$B$1004,$A22,Mouvements!$D$5:$D$1004,"Sortie"))</f>
        <v/>
      </c>
      <c r="K22" s="21" t="str">
        <f aca="false">IF($A22="","",N($G22)+$I22-$J22)</f>
        <v/>
      </c>
      <c r="L22" s="21" t="str">
        <f aca="false">IF($A22="","",$K22*N($E22))</f>
        <v/>
      </c>
      <c r="M22" s="22" t="str">
        <f aca="false">IF($A22="","",IF($K22&lt;=0,"Rupture",IF($K22&lt;=N($H22),"À commander","OK")))</f>
        <v/>
      </c>
      <c r="N22" s="23"/>
      <c r="O22" s="23"/>
      <c r="P22" s="21" t="str">
        <f aca="false">IF($A22="","",IF($K22&lt;=N($H22),MAX(0,2*N($H22)-$K22),0))</f>
        <v/>
      </c>
    </row>
    <row r="23" customFormat="false" ht="15" hidden="false" customHeight="false" outlineLevel="0" collapsed="false">
      <c r="A23" s="23"/>
      <c r="B23" s="23"/>
      <c r="C23" s="23"/>
      <c r="D23" s="23"/>
      <c r="E23" s="24"/>
      <c r="F23" s="24"/>
      <c r="G23" s="24"/>
      <c r="H23" s="24"/>
      <c r="I23" s="21" t="str">
        <f aca="false">IF($A23="","",SUMIFS(Mouvements!$E$5:$E$1004,Mouvements!$B$5:$B$1004,$A23,Mouvements!$D$5:$D$1004,"Entrée"))</f>
        <v/>
      </c>
      <c r="J23" s="21" t="str">
        <f aca="false">IF($A23="","",SUMIFS(Mouvements!$E$5:$E$1004,Mouvements!$B$5:$B$1004,$A23,Mouvements!$D$5:$D$1004,"Sortie"))</f>
        <v/>
      </c>
      <c r="K23" s="21" t="str">
        <f aca="false">IF($A23="","",N($G23)+$I23-$J23)</f>
        <v/>
      </c>
      <c r="L23" s="21" t="str">
        <f aca="false">IF($A23="","",$K23*N($E23))</f>
        <v/>
      </c>
      <c r="M23" s="22" t="str">
        <f aca="false">IF($A23="","",IF($K23&lt;=0,"Rupture",IF($K23&lt;=N($H23),"À commander","OK")))</f>
        <v/>
      </c>
      <c r="N23" s="23"/>
      <c r="O23" s="23"/>
      <c r="P23" s="21" t="str">
        <f aca="false">IF($A23="","",IF($K23&lt;=N($H23),MAX(0,2*N($H23)-$K23),0))</f>
        <v/>
      </c>
    </row>
    <row r="24" customFormat="false" ht="15" hidden="false" customHeight="false" outlineLevel="0" collapsed="false">
      <c r="A24" s="23"/>
      <c r="B24" s="23"/>
      <c r="C24" s="23"/>
      <c r="D24" s="23"/>
      <c r="E24" s="24"/>
      <c r="F24" s="24"/>
      <c r="G24" s="24"/>
      <c r="H24" s="24"/>
      <c r="I24" s="21" t="str">
        <f aca="false">IF($A24="","",SUMIFS(Mouvements!$E$5:$E$1004,Mouvements!$B$5:$B$1004,$A24,Mouvements!$D$5:$D$1004,"Entrée"))</f>
        <v/>
      </c>
      <c r="J24" s="21" t="str">
        <f aca="false">IF($A24="","",SUMIFS(Mouvements!$E$5:$E$1004,Mouvements!$B$5:$B$1004,$A24,Mouvements!$D$5:$D$1004,"Sortie"))</f>
        <v/>
      </c>
      <c r="K24" s="21" t="str">
        <f aca="false">IF($A24="","",N($G24)+$I24-$J24)</f>
        <v/>
      </c>
      <c r="L24" s="21" t="str">
        <f aca="false">IF($A24="","",$K24*N($E24))</f>
        <v/>
      </c>
      <c r="M24" s="22" t="str">
        <f aca="false">IF($A24="","",IF($K24&lt;=0,"Rupture",IF($K24&lt;=N($H24),"À commander","OK")))</f>
        <v/>
      </c>
      <c r="N24" s="23"/>
      <c r="O24" s="23"/>
      <c r="P24" s="21" t="str">
        <f aca="false">IF($A24="","",IF($K24&lt;=N($H24),MAX(0,2*N($H24)-$K24),0))</f>
        <v/>
      </c>
    </row>
    <row r="25" customFormat="false" ht="15" hidden="false" customHeight="false" outlineLevel="0" collapsed="false">
      <c r="A25" s="23"/>
      <c r="B25" s="23"/>
      <c r="C25" s="23"/>
      <c r="D25" s="23"/>
      <c r="E25" s="24"/>
      <c r="F25" s="24"/>
      <c r="G25" s="24"/>
      <c r="H25" s="24"/>
      <c r="I25" s="21" t="str">
        <f aca="false">IF($A25="","",SUMIFS(Mouvements!$E$5:$E$1004,Mouvements!$B$5:$B$1004,$A25,Mouvements!$D$5:$D$1004,"Entrée"))</f>
        <v/>
      </c>
      <c r="J25" s="21" t="str">
        <f aca="false">IF($A25="","",SUMIFS(Mouvements!$E$5:$E$1004,Mouvements!$B$5:$B$1004,$A25,Mouvements!$D$5:$D$1004,"Sortie"))</f>
        <v/>
      </c>
      <c r="K25" s="21" t="str">
        <f aca="false">IF($A25="","",N($G25)+$I25-$J25)</f>
        <v/>
      </c>
      <c r="L25" s="21" t="str">
        <f aca="false">IF($A25="","",$K25*N($E25))</f>
        <v/>
      </c>
      <c r="M25" s="22" t="str">
        <f aca="false">IF($A25="","",IF($K25&lt;=0,"Rupture",IF($K25&lt;=N($H25),"À commander","OK")))</f>
        <v/>
      </c>
      <c r="N25" s="23"/>
      <c r="O25" s="23"/>
      <c r="P25" s="21" t="str">
        <f aca="false">IF($A25="","",IF($K25&lt;=N($H25),MAX(0,2*N($H25)-$K25),0))</f>
        <v/>
      </c>
    </row>
    <row r="26" customFormat="false" ht="15" hidden="false" customHeight="false" outlineLevel="0" collapsed="false">
      <c r="A26" s="23"/>
      <c r="B26" s="23"/>
      <c r="C26" s="23"/>
      <c r="D26" s="23"/>
      <c r="E26" s="24"/>
      <c r="F26" s="24"/>
      <c r="G26" s="24"/>
      <c r="H26" s="24"/>
      <c r="I26" s="21" t="str">
        <f aca="false">IF($A26="","",SUMIFS(Mouvements!$E$5:$E$1004,Mouvements!$B$5:$B$1004,$A26,Mouvements!$D$5:$D$1004,"Entrée"))</f>
        <v/>
      </c>
      <c r="J26" s="21" t="str">
        <f aca="false">IF($A26="","",SUMIFS(Mouvements!$E$5:$E$1004,Mouvements!$B$5:$B$1004,$A26,Mouvements!$D$5:$D$1004,"Sortie"))</f>
        <v/>
      </c>
      <c r="K26" s="21" t="str">
        <f aca="false">IF($A26="","",N($G26)+$I26-$J26)</f>
        <v/>
      </c>
      <c r="L26" s="21" t="str">
        <f aca="false">IF($A26="","",$K26*N($E26))</f>
        <v/>
      </c>
      <c r="M26" s="22" t="str">
        <f aca="false">IF($A26="","",IF($K26&lt;=0,"Rupture",IF($K26&lt;=N($H26),"À commander","OK")))</f>
        <v/>
      </c>
      <c r="N26" s="23"/>
      <c r="O26" s="23"/>
      <c r="P26" s="21" t="str">
        <f aca="false">IF($A26="","",IF($K26&lt;=N($H26),MAX(0,2*N($H26)-$K26),0))</f>
        <v/>
      </c>
    </row>
    <row r="27" customFormat="false" ht="15" hidden="false" customHeight="false" outlineLevel="0" collapsed="false">
      <c r="A27" s="23"/>
      <c r="B27" s="23"/>
      <c r="C27" s="23"/>
      <c r="D27" s="23"/>
      <c r="E27" s="24"/>
      <c r="F27" s="24"/>
      <c r="G27" s="24"/>
      <c r="H27" s="24"/>
      <c r="I27" s="21" t="str">
        <f aca="false">IF($A27="","",SUMIFS(Mouvements!$E$5:$E$1004,Mouvements!$B$5:$B$1004,$A27,Mouvements!$D$5:$D$1004,"Entrée"))</f>
        <v/>
      </c>
      <c r="J27" s="21" t="str">
        <f aca="false">IF($A27="","",SUMIFS(Mouvements!$E$5:$E$1004,Mouvements!$B$5:$B$1004,$A27,Mouvements!$D$5:$D$1004,"Sortie"))</f>
        <v/>
      </c>
      <c r="K27" s="21" t="str">
        <f aca="false">IF($A27="","",N($G27)+$I27-$J27)</f>
        <v/>
      </c>
      <c r="L27" s="21" t="str">
        <f aca="false">IF($A27="","",$K27*N($E27))</f>
        <v/>
      </c>
      <c r="M27" s="22" t="str">
        <f aca="false">IF($A27="","",IF($K27&lt;=0,"Rupture",IF($K27&lt;=N($H27),"À commander","OK")))</f>
        <v/>
      </c>
      <c r="N27" s="23"/>
      <c r="O27" s="23"/>
      <c r="P27" s="21" t="str">
        <f aca="false">IF($A27="","",IF($K27&lt;=N($H27),MAX(0,2*N($H27)-$K27),0))</f>
        <v/>
      </c>
    </row>
    <row r="28" customFormat="false" ht="15" hidden="false" customHeight="false" outlineLevel="0" collapsed="false">
      <c r="A28" s="23"/>
      <c r="B28" s="23"/>
      <c r="C28" s="23"/>
      <c r="D28" s="23"/>
      <c r="E28" s="24"/>
      <c r="F28" s="24"/>
      <c r="G28" s="24"/>
      <c r="H28" s="24"/>
      <c r="I28" s="21" t="str">
        <f aca="false">IF($A28="","",SUMIFS(Mouvements!$E$5:$E$1004,Mouvements!$B$5:$B$1004,$A28,Mouvements!$D$5:$D$1004,"Entrée"))</f>
        <v/>
      </c>
      <c r="J28" s="21" t="str">
        <f aca="false">IF($A28="","",SUMIFS(Mouvements!$E$5:$E$1004,Mouvements!$B$5:$B$1004,$A28,Mouvements!$D$5:$D$1004,"Sortie"))</f>
        <v/>
      </c>
      <c r="K28" s="21" t="str">
        <f aca="false">IF($A28="","",N($G28)+$I28-$J28)</f>
        <v/>
      </c>
      <c r="L28" s="21" t="str">
        <f aca="false">IF($A28="","",$K28*N($E28))</f>
        <v/>
      </c>
      <c r="M28" s="22" t="str">
        <f aca="false">IF($A28="","",IF($K28&lt;=0,"Rupture",IF($K28&lt;=N($H28),"À commander","OK")))</f>
        <v/>
      </c>
      <c r="N28" s="23"/>
      <c r="O28" s="23"/>
      <c r="P28" s="21" t="str">
        <f aca="false">IF($A28="","",IF($K28&lt;=N($H28),MAX(0,2*N($H28)-$K28),0))</f>
        <v/>
      </c>
    </row>
    <row r="29" customFormat="false" ht="15" hidden="false" customHeight="false" outlineLevel="0" collapsed="false">
      <c r="A29" s="23"/>
      <c r="B29" s="23"/>
      <c r="C29" s="23"/>
      <c r="D29" s="23"/>
      <c r="E29" s="24"/>
      <c r="F29" s="24"/>
      <c r="G29" s="24"/>
      <c r="H29" s="24"/>
      <c r="I29" s="21" t="str">
        <f aca="false">IF($A29="","",SUMIFS(Mouvements!$E$5:$E$1004,Mouvements!$B$5:$B$1004,$A29,Mouvements!$D$5:$D$1004,"Entrée"))</f>
        <v/>
      </c>
      <c r="J29" s="21" t="str">
        <f aca="false">IF($A29="","",SUMIFS(Mouvements!$E$5:$E$1004,Mouvements!$B$5:$B$1004,$A29,Mouvements!$D$5:$D$1004,"Sortie"))</f>
        <v/>
      </c>
      <c r="K29" s="21" t="str">
        <f aca="false">IF($A29="","",N($G29)+$I29-$J29)</f>
        <v/>
      </c>
      <c r="L29" s="21" t="str">
        <f aca="false">IF($A29="","",$K29*N($E29))</f>
        <v/>
      </c>
      <c r="M29" s="22" t="str">
        <f aca="false">IF($A29="","",IF($K29&lt;=0,"Rupture",IF($K29&lt;=N($H29),"À commander","OK")))</f>
        <v/>
      </c>
      <c r="N29" s="23"/>
      <c r="O29" s="23"/>
      <c r="P29" s="21" t="str">
        <f aca="false">IF($A29="","",IF($K29&lt;=N($H29),MAX(0,2*N($H29)-$K29),0))</f>
        <v/>
      </c>
    </row>
    <row r="30" customFormat="false" ht="15" hidden="false" customHeight="false" outlineLevel="0" collapsed="false">
      <c r="A30" s="23"/>
      <c r="B30" s="23"/>
      <c r="C30" s="23"/>
      <c r="D30" s="23"/>
      <c r="E30" s="24"/>
      <c r="F30" s="24"/>
      <c r="G30" s="24"/>
      <c r="H30" s="24"/>
      <c r="I30" s="21" t="str">
        <f aca="false">IF($A30="","",SUMIFS(Mouvements!$E$5:$E$1004,Mouvements!$B$5:$B$1004,$A30,Mouvements!$D$5:$D$1004,"Entrée"))</f>
        <v/>
      </c>
      <c r="J30" s="21" t="str">
        <f aca="false">IF($A30="","",SUMIFS(Mouvements!$E$5:$E$1004,Mouvements!$B$5:$B$1004,$A30,Mouvements!$D$5:$D$1004,"Sortie"))</f>
        <v/>
      </c>
      <c r="K30" s="21" t="str">
        <f aca="false">IF($A30="","",N($G30)+$I30-$J30)</f>
        <v/>
      </c>
      <c r="L30" s="21" t="str">
        <f aca="false">IF($A30="","",$K30*N($E30))</f>
        <v/>
      </c>
      <c r="M30" s="22" t="str">
        <f aca="false">IF($A30="","",IF($K30&lt;=0,"Rupture",IF($K30&lt;=N($H30),"À commander","OK")))</f>
        <v/>
      </c>
      <c r="N30" s="23"/>
      <c r="O30" s="23"/>
      <c r="P30" s="21" t="str">
        <f aca="false">IF($A30="","",IF($K30&lt;=N($H30),MAX(0,2*N($H30)-$K30),0))</f>
        <v/>
      </c>
    </row>
    <row r="31" customFormat="false" ht="15" hidden="false" customHeight="false" outlineLevel="0" collapsed="false">
      <c r="A31" s="23"/>
      <c r="B31" s="23"/>
      <c r="C31" s="23"/>
      <c r="D31" s="23"/>
      <c r="E31" s="24"/>
      <c r="F31" s="24"/>
      <c r="G31" s="24"/>
      <c r="H31" s="24"/>
      <c r="I31" s="21" t="str">
        <f aca="false">IF($A31="","",SUMIFS(Mouvements!$E$5:$E$1004,Mouvements!$B$5:$B$1004,$A31,Mouvements!$D$5:$D$1004,"Entrée"))</f>
        <v/>
      </c>
      <c r="J31" s="21" t="str">
        <f aca="false">IF($A31="","",SUMIFS(Mouvements!$E$5:$E$1004,Mouvements!$B$5:$B$1004,$A31,Mouvements!$D$5:$D$1004,"Sortie"))</f>
        <v/>
      </c>
      <c r="K31" s="21" t="str">
        <f aca="false">IF($A31="","",N($G31)+$I31-$J31)</f>
        <v/>
      </c>
      <c r="L31" s="21" t="str">
        <f aca="false">IF($A31="","",$K31*N($E31))</f>
        <v/>
      </c>
      <c r="M31" s="22" t="str">
        <f aca="false">IF($A31="","",IF($K31&lt;=0,"Rupture",IF($K31&lt;=N($H31),"À commander","OK")))</f>
        <v/>
      </c>
      <c r="N31" s="23"/>
      <c r="O31" s="23"/>
      <c r="P31" s="21" t="str">
        <f aca="false">IF($A31="","",IF($K31&lt;=N($H31),MAX(0,2*N($H31)-$K31),0))</f>
        <v/>
      </c>
    </row>
    <row r="32" customFormat="false" ht="15" hidden="false" customHeight="false" outlineLevel="0" collapsed="false">
      <c r="A32" s="23"/>
      <c r="B32" s="23"/>
      <c r="C32" s="23"/>
      <c r="D32" s="23"/>
      <c r="E32" s="24"/>
      <c r="F32" s="24"/>
      <c r="G32" s="24"/>
      <c r="H32" s="24"/>
      <c r="I32" s="21" t="str">
        <f aca="false">IF($A32="","",SUMIFS(Mouvements!$E$5:$E$1004,Mouvements!$B$5:$B$1004,$A32,Mouvements!$D$5:$D$1004,"Entrée"))</f>
        <v/>
      </c>
      <c r="J32" s="21" t="str">
        <f aca="false">IF($A32="","",SUMIFS(Mouvements!$E$5:$E$1004,Mouvements!$B$5:$B$1004,$A32,Mouvements!$D$5:$D$1004,"Sortie"))</f>
        <v/>
      </c>
      <c r="K32" s="21" t="str">
        <f aca="false">IF($A32="","",N($G32)+$I32-$J32)</f>
        <v/>
      </c>
      <c r="L32" s="21" t="str">
        <f aca="false">IF($A32="","",$K32*N($E32))</f>
        <v/>
      </c>
      <c r="M32" s="22" t="str">
        <f aca="false">IF($A32="","",IF($K32&lt;=0,"Rupture",IF($K32&lt;=N($H32),"À commander","OK")))</f>
        <v/>
      </c>
      <c r="N32" s="23"/>
      <c r="O32" s="23"/>
      <c r="P32" s="21" t="str">
        <f aca="false">IF($A32="","",IF($K32&lt;=N($H32),MAX(0,2*N($H32)-$K32),0))</f>
        <v/>
      </c>
    </row>
    <row r="33" customFormat="false" ht="15" hidden="false" customHeight="false" outlineLevel="0" collapsed="false">
      <c r="A33" s="23"/>
      <c r="B33" s="23"/>
      <c r="C33" s="23"/>
      <c r="D33" s="23"/>
      <c r="E33" s="24"/>
      <c r="F33" s="24"/>
      <c r="G33" s="24"/>
      <c r="H33" s="24"/>
      <c r="I33" s="21" t="str">
        <f aca="false">IF($A33="","",SUMIFS(Mouvements!$E$5:$E$1004,Mouvements!$B$5:$B$1004,$A33,Mouvements!$D$5:$D$1004,"Entrée"))</f>
        <v/>
      </c>
      <c r="J33" s="21" t="str">
        <f aca="false">IF($A33="","",SUMIFS(Mouvements!$E$5:$E$1004,Mouvements!$B$5:$B$1004,$A33,Mouvements!$D$5:$D$1004,"Sortie"))</f>
        <v/>
      </c>
      <c r="K33" s="21" t="str">
        <f aca="false">IF($A33="","",N($G33)+$I33-$J33)</f>
        <v/>
      </c>
      <c r="L33" s="21" t="str">
        <f aca="false">IF($A33="","",$K33*N($E33))</f>
        <v/>
      </c>
      <c r="M33" s="22" t="str">
        <f aca="false">IF($A33="","",IF($K33&lt;=0,"Rupture",IF($K33&lt;=N($H33),"À commander","OK")))</f>
        <v/>
      </c>
      <c r="N33" s="23"/>
      <c r="O33" s="23"/>
      <c r="P33" s="21" t="str">
        <f aca="false">IF($A33="","",IF($K33&lt;=N($H33),MAX(0,2*N($H33)-$K33),0))</f>
        <v/>
      </c>
    </row>
    <row r="34" customFormat="false" ht="15" hidden="false" customHeight="false" outlineLevel="0" collapsed="false">
      <c r="A34" s="23"/>
      <c r="B34" s="23"/>
      <c r="C34" s="23"/>
      <c r="D34" s="23"/>
      <c r="E34" s="24"/>
      <c r="F34" s="24"/>
      <c r="G34" s="24"/>
      <c r="H34" s="24"/>
      <c r="I34" s="21" t="str">
        <f aca="false">IF($A34="","",SUMIFS(Mouvements!$E$5:$E$1004,Mouvements!$B$5:$B$1004,$A34,Mouvements!$D$5:$D$1004,"Entrée"))</f>
        <v/>
      </c>
      <c r="J34" s="21" t="str">
        <f aca="false">IF($A34="","",SUMIFS(Mouvements!$E$5:$E$1004,Mouvements!$B$5:$B$1004,$A34,Mouvements!$D$5:$D$1004,"Sortie"))</f>
        <v/>
      </c>
      <c r="K34" s="21" t="str">
        <f aca="false">IF($A34="","",N($G34)+$I34-$J34)</f>
        <v/>
      </c>
      <c r="L34" s="21" t="str">
        <f aca="false">IF($A34="","",$K34*N($E34))</f>
        <v/>
      </c>
      <c r="M34" s="22" t="str">
        <f aca="false">IF($A34="","",IF($K34&lt;=0,"Rupture",IF($K34&lt;=N($H34),"À commander","OK")))</f>
        <v/>
      </c>
      <c r="N34" s="23"/>
      <c r="O34" s="23"/>
      <c r="P34" s="21" t="str">
        <f aca="false">IF($A34="","",IF($K34&lt;=N($H34),MAX(0,2*N($H34)-$K34),0))</f>
        <v/>
      </c>
    </row>
    <row r="35" customFormat="false" ht="15" hidden="false" customHeight="false" outlineLevel="0" collapsed="false">
      <c r="A35" s="23"/>
      <c r="B35" s="23"/>
      <c r="C35" s="23"/>
      <c r="D35" s="23"/>
      <c r="E35" s="24"/>
      <c r="F35" s="24"/>
      <c r="G35" s="24"/>
      <c r="H35" s="24"/>
      <c r="I35" s="21" t="str">
        <f aca="false">IF($A35="","",SUMIFS(Mouvements!$E$5:$E$1004,Mouvements!$B$5:$B$1004,$A35,Mouvements!$D$5:$D$1004,"Entrée"))</f>
        <v/>
      </c>
      <c r="J35" s="21" t="str">
        <f aca="false">IF($A35="","",SUMIFS(Mouvements!$E$5:$E$1004,Mouvements!$B$5:$B$1004,$A35,Mouvements!$D$5:$D$1004,"Sortie"))</f>
        <v/>
      </c>
      <c r="K35" s="21" t="str">
        <f aca="false">IF($A35="","",N($G35)+$I35-$J35)</f>
        <v/>
      </c>
      <c r="L35" s="21" t="str">
        <f aca="false">IF($A35="","",$K35*N($E35))</f>
        <v/>
      </c>
      <c r="M35" s="22" t="str">
        <f aca="false">IF($A35="","",IF($K35&lt;=0,"Rupture",IF($K35&lt;=N($H35),"À commander","OK")))</f>
        <v/>
      </c>
      <c r="N35" s="23"/>
      <c r="O35" s="23"/>
      <c r="P35" s="21" t="str">
        <f aca="false">IF($A35="","",IF($K35&lt;=N($H35),MAX(0,2*N($H35)-$K35),0))</f>
        <v/>
      </c>
    </row>
    <row r="36" customFormat="false" ht="15" hidden="false" customHeight="false" outlineLevel="0" collapsed="false">
      <c r="A36" s="23"/>
      <c r="B36" s="23"/>
      <c r="C36" s="23"/>
      <c r="D36" s="23"/>
      <c r="E36" s="24"/>
      <c r="F36" s="24"/>
      <c r="G36" s="24"/>
      <c r="H36" s="24"/>
      <c r="I36" s="21" t="str">
        <f aca="false">IF($A36="","",SUMIFS(Mouvements!$E$5:$E$1004,Mouvements!$B$5:$B$1004,$A36,Mouvements!$D$5:$D$1004,"Entrée"))</f>
        <v/>
      </c>
      <c r="J36" s="21" t="str">
        <f aca="false">IF($A36="","",SUMIFS(Mouvements!$E$5:$E$1004,Mouvements!$B$5:$B$1004,$A36,Mouvements!$D$5:$D$1004,"Sortie"))</f>
        <v/>
      </c>
      <c r="K36" s="21" t="str">
        <f aca="false">IF($A36="","",N($G36)+$I36-$J36)</f>
        <v/>
      </c>
      <c r="L36" s="21" t="str">
        <f aca="false">IF($A36="","",$K36*N($E36))</f>
        <v/>
      </c>
      <c r="M36" s="22" t="str">
        <f aca="false">IF($A36="","",IF($K36&lt;=0,"Rupture",IF($K36&lt;=N($H36),"À commander","OK")))</f>
        <v/>
      </c>
      <c r="N36" s="23"/>
      <c r="O36" s="23"/>
      <c r="P36" s="21" t="str">
        <f aca="false">IF($A36="","",IF($K36&lt;=N($H36),MAX(0,2*N($H36)-$K36),0))</f>
        <v/>
      </c>
    </row>
    <row r="37" customFormat="false" ht="15" hidden="false" customHeight="false" outlineLevel="0" collapsed="false">
      <c r="A37" s="23"/>
      <c r="B37" s="23"/>
      <c r="C37" s="23"/>
      <c r="D37" s="23"/>
      <c r="E37" s="24"/>
      <c r="F37" s="24"/>
      <c r="G37" s="24"/>
      <c r="H37" s="24"/>
      <c r="I37" s="21" t="str">
        <f aca="false">IF($A37="","",SUMIFS(Mouvements!$E$5:$E$1004,Mouvements!$B$5:$B$1004,$A37,Mouvements!$D$5:$D$1004,"Entrée"))</f>
        <v/>
      </c>
      <c r="J37" s="21" t="str">
        <f aca="false">IF($A37="","",SUMIFS(Mouvements!$E$5:$E$1004,Mouvements!$B$5:$B$1004,$A37,Mouvements!$D$5:$D$1004,"Sortie"))</f>
        <v/>
      </c>
      <c r="K37" s="21" t="str">
        <f aca="false">IF($A37="","",N($G37)+$I37-$J37)</f>
        <v/>
      </c>
      <c r="L37" s="21" t="str">
        <f aca="false">IF($A37="","",$K37*N($E37))</f>
        <v/>
      </c>
      <c r="M37" s="22" t="str">
        <f aca="false">IF($A37="","",IF($K37&lt;=0,"Rupture",IF($K37&lt;=N($H37),"À commander","OK")))</f>
        <v/>
      </c>
      <c r="N37" s="23"/>
      <c r="O37" s="23"/>
      <c r="P37" s="21" t="str">
        <f aca="false">IF($A37="","",IF($K37&lt;=N($H37),MAX(0,2*N($H37)-$K37),0))</f>
        <v/>
      </c>
    </row>
    <row r="38" customFormat="false" ht="15" hidden="false" customHeight="false" outlineLevel="0" collapsed="false">
      <c r="A38" s="23"/>
      <c r="B38" s="23"/>
      <c r="C38" s="23"/>
      <c r="D38" s="23"/>
      <c r="E38" s="24"/>
      <c r="F38" s="24"/>
      <c r="G38" s="24"/>
      <c r="H38" s="24"/>
      <c r="I38" s="21" t="str">
        <f aca="false">IF($A38="","",SUMIFS(Mouvements!$E$5:$E$1004,Mouvements!$B$5:$B$1004,$A38,Mouvements!$D$5:$D$1004,"Entrée"))</f>
        <v/>
      </c>
      <c r="J38" s="21" t="str">
        <f aca="false">IF($A38="","",SUMIFS(Mouvements!$E$5:$E$1004,Mouvements!$B$5:$B$1004,$A38,Mouvements!$D$5:$D$1004,"Sortie"))</f>
        <v/>
      </c>
      <c r="K38" s="21" t="str">
        <f aca="false">IF($A38="","",N($G38)+$I38-$J38)</f>
        <v/>
      </c>
      <c r="L38" s="21" t="str">
        <f aca="false">IF($A38="","",$K38*N($E38))</f>
        <v/>
      </c>
      <c r="M38" s="22" t="str">
        <f aca="false">IF($A38="","",IF($K38&lt;=0,"Rupture",IF($K38&lt;=N($H38),"À commander","OK")))</f>
        <v/>
      </c>
      <c r="N38" s="23"/>
      <c r="O38" s="23"/>
      <c r="P38" s="21" t="str">
        <f aca="false">IF($A38="","",IF($K38&lt;=N($H38),MAX(0,2*N($H38)-$K38),0))</f>
        <v/>
      </c>
    </row>
    <row r="39" customFormat="false" ht="15" hidden="false" customHeight="false" outlineLevel="0" collapsed="false">
      <c r="A39" s="23"/>
      <c r="B39" s="23"/>
      <c r="C39" s="23"/>
      <c r="D39" s="23"/>
      <c r="E39" s="24"/>
      <c r="F39" s="24"/>
      <c r="G39" s="24"/>
      <c r="H39" s="24"/>
      <c r="I39" s="21" t="str">
        <f aca="false">IF($A39="","",SUMIFS(Mouvements!$E$5:$E$1004,Mouvements!$B$5:$B$1004,$A39,Mouvements!$D$5:$D$1004,"Entrée"))</f>
        <v/>
      </c>
      <c r="J39" s="21" t="str">
        <f aca="false">IF($A39="","",SUMIFS(Mouvements!$E$5:$E$1004,Mouvements!$B$5:$B$1004,$A39,Mouvements!$D$5:$D$1004,"Sortie"))</f>
        <v/>
      </c>
      <c r="K39" s="21" t="str">
        <f aca="false">IF($A39="","",N($G39)+$I39-$J39)</f>
        <v/>
      </c>
      <c r="L39" s="21" t="str">
        <f aca="false">IF($A39="","",$K39*N($E39))</f>
        <v/>
      </c>
      <c r="M39" s="22" t="str">
        <f aca="false">IF($A39="","",IF($K39&lt;=0,"Rupture",IF($K39&lt;=N($H39),"À commander","OK")))</f>
        <v/>
      </c>
      <c r="N39" s="23"/>
      <c r="O39" s="23"/>
      <c r="P39" s="21" t="str">
        <f aca="false">IF($A39="","",IF($K39&lt;=N($H39),MAX(0,2*N($H39)-$K39),0))</f>
        <v/>
      </c>
    </row>
    <row r="40" customFormat="false" ht="15" hidden="false" customHeight="false" outlineLevel="0" collapsed="false">
      <c r="A40" s="23"/>
      <c r="B40" s="23"/>
      <c r="C40" s="23"/>
      <c r="D40" s="23"/>
      <c r="E40" s="24"/>
      <c r="F40" s="24"/>
      <c r="G40" s="24"/>
      <c r="H40" s="24"/>
      <c r="I40" s="21" t="str">
        <f aca="false">IF($A40="","",SUMIFS(Mouvements!$E$5:$E$1004,Mouvements!$B$5:$B$1004,$A40,Mouvements!$D$5:$D$1004,"Entrée"))</f>
        <v/>
      </c>
      <c r="J40" s="21" t="str">
        <f aca="false">IF($A40="","",SUMIFS(Mouvements!$E$5:$E$1004,Mouvements!$B$5:$B$1004,$A40,Mouvements!$D$5:$D$1004,"Sortie"))</f>
        <v/>
      </c>
      <c r="K40" s="21" t="str">
        <f aca="false">IF($A40="","",N($G40)+$I40-$J40)</f>
        <v/>
      </c>
      <c r="L40" s="21" t="str">
        <f aca="false">IF($A40="","",$K40*N($E40))</f>
        <v/>
      </c>
      <c r="M40" s="22" t="str">
        <f aca="false">IF($A40="","",IF($K40&lt;=0,"Rupture",IF($K40&lt;=N($H40),"À commander","OK")))</f>
        <v/>
      </c>
      <c r="N40" s="23"/>
      <c r="O40" s="23"/>
      <c r="P40" s="21" t="str">
        <f aca="false">IF($A40="","",IF($K40&lt;=N($H40),MAX(0,2*N($H40)-$K40),0))</f>
        <v/>
      </c>
    </row>
    <row r="41" customFormat="false" ht="15" hidden="false" customHeight="false" outlineLevel="0" collapsed="false">
      <c r="A41" s="23"/>
      <c r="B41" s="23"/>
      <c r="C41" s="23"/>
      <c r="D41" s="23"/>
      <c r="E41" s="24"/>
      <c r="F41" s="24"/>
      <c r="G41" s="24"/>
      <c r="H41" s="24"/>
      <c r="I41" s="21" t="str">
        <f aca="false">IF($A41="","",SUMIFS(Mouvements!$E$5:$E$1004,Mouvements!$B$5:$B$1004,$A41,Mouvements!$D$5:$D$1004,"Entrée"))</f>
        <v/>
      </c>
      <c r="J41" s="21" t="str">
        <f aca="false">IF($A41="","",SUMIFS(Mouvements!$E$5:$E$1004,Mouvements!$B$5:$B$1004,$A41,Mouvements!$D$5:$D$1004,"Sortie"))</f>
        <v/>
      </c>
      <c r="K41" s="21" t="str">
        <f aca="false">IF($A41="","",N($G41)+$I41-$J41)</f>
        <v/>
      </c>
      <c r="L41" s="21" t="str">
        <f aca="false">IF($A41="","",$K41*N($E41))</f>
        <v/>
      </c>
      <c r="M41" s="22" t="str">
        <f aca="false">IF($A41="","",IF($K41&lt;=0,"Rupture",IF($K41&lt;=N($H41),"À commander","OK")))</f>
        <v/>
      </c>
      <c r="N41" s="23"/>
      <c r="O41" s="23"/>
      <c r="P41" s="21" t="str">
        <f aca="false">IF($A41="","",IF($K41&lt;=N($H41),MAX(0,2*N($H41)-$K41),0))</f>
        <v/>
      </c>
    </row>
    <row r="42" customFormat="false" ht="15" hidden="false" customHeight="false" outlineLevel="0" collapsed="false">
      <c r="A42" s="23"/>
      <c r="B42" s="23"/>
      <c r="C42" s="23"/>
      <c r="D42" s="23"/>
      <c r="E42" s="24"/>
      <c r="F42" s="24"/>
      <c r="G42" s="24"/>
      <c r="H42" s="24"/>
      <c r="I42" s="21" t="str">
        <f aca="false">IF($A42="","",SUMIFS(Mouvements!$E$5:$E$1004,Mouvements!$B$5:$B$1004,$A42,Mouvements!$D$5:$D$1004,"Entrée"))</f>
        <v/>
      </c>
      <c r="J42" s="21" t="str">
        <f aca="false">IF($A42="","",SUMIFS(Mouvements!$E$5:$E$1004,Mouvements!$B$5:$B$1004,$A42,Mouvements!$D$5:$D$1004,"Sortie"))</f>
        <v/>
      </c>
      <c r="K42" s="21" t="str">
        <f aca="false">IF($A42="","",N($G42)+$I42-$J42)</f>
        <v/>
      </c>
      <c r="L42" s="21" t="str">
        <f aca="false">IF($A42="","",$K42*N($E42))</f>
        <v/>
      </c>
      <c r="M42" s="22" t="str">
        <f aca="false">IF($A42="","",IF($K42&lt;=0,"Rupture",IF($K42&lt;=N($H42),"À commander","OK")))</f>
        <v/>
      </c>
      <c r="N42" s="23"/>
      <c r="O42" s="23"/>
      <c r="P42" s="21" t="str">
        <f aca="false">IF($A42="","",IF($K42&lt;=N($H42),MAX(0,2*N($H42)-$K42),0))</f>
        <v/>
      </c>
    </row>
    <row r="43" customFormat="false" ht="15" hidden="false" customHeight="false" outlineLevel="0" collapsed="false">
      <c r="A43" s="23"/>
      <c r="B43" s="23"/>
      <c r="C43" s="23"/>
      <c r="D43" s="23"/>
      <c r="E43" s="24"/>
      <c r="F43" s="24"/>
      <c r="G43" s="24"/>
      <c r="H43" s="24"/>
      <c r="I43" s="21" t="str">
        <f aca="false">IF($A43="","",SUMIFS(Mouvements!$E$5:$E$1004,Mouvements!$B$5:$B$1004,$A43,Mouvements!$D$5:$D$1004,"Entrée"))</f>
        <v/>
      </c>
      <c r="J43" s="21" t="str">
        <f aca="false">IF($A43="","",SUMIFS(Mouvements!$E$5:$E$1004,Mouvements!$B$5:$B$1004,$A43,Mouvements!$D$5:$D$1004,"Sortie"))</f>
        <v/>
      </c>
      <c r="K43" s="21" t="str">
        <f aca="false">IF($A43="","",N($G43)+$I43-$J43)</f>
        <v/>
      </c>
      <c r="L43" s="21" t="str">
        <f aca="false">IF($A43="","",$K43*N($E43))</f>
        <v/>
      </c>
      <c r="M43" s="22" t="str">
        <f aca="false">IF($A43="","",IF($K43&lt;=0,"Rupture",IF($K43&lt;=N($H43),"À commander","OK")))</f>
        <v/>
      </c>
      <c r="N43" s="23"/>
      <c r="O43" s="23"/>
      <c r="P43" s="21" t="str">
        <f aca="false">IF($A43="","",IF($K43&lt;=N($H43),MAX(0,2*N($H43)-$K43),0))</f>
        <v/>
      </c>
    </row>
    <row r="44" customFormat="false" ht="15" hidden="false" customHeight="false" outlineLevel="0" collapsed="false">
      <c r="A44" s="23"/>
      <c r="B44" s="23"/>
      <c r="C44" s="23"/>
      <c r="D44" s="23"/>
      <c r="E44" s="24"/>
      <c r="F44" s="24"/>
      <c r="G44" s="24"/>
      <c r="H44" s="24"/>
      <c r="I44" s="21" t="str">
        <f aca="false">IF($A44="","",SUMIFS(Mouvements!$E$5:$E$1004,Mouvements!$B$5:$B$1004,$A44,Mouvements!$D$5:$D$1004,"Entrée"))</f>
        <v/>
      </c>
      <c r="J44" s="21" t="str">
        <f aca="false">IF($A44="","",SUMIFS(Mouvements!$E$5:$E$1004,Mouvements!$B$5:$B$1004,$A44,Mouvements!$D$5:$D$1004,"Sortie"))</f>
        <v/>
      </c>
      <c r="K44" s="21" t="str">
        <f aca="false">IF($A44="","",N($G44)+$I44-$J44)</f>
        <v/>
      </c>
      <c r="L44" s="21" t="str">
        <f aca="false">IF($A44="","",$K44*N($E44))</f>
        <v/>
      </c>
      <c r="M44" s="22" t="str">
        <f aca="false">IF($A44="","",IF($K44&lt;=0,"Rupture",IF($K44&lt;=N($H44),"À commander","OK")))</f>
        <v/>
      </c>
      <c r="N44" s="23"/>
      <c r="O44" s="23"/>
      <c r="P44" s="21" t="str">
        <f aca="false">IF($A44="","",IF($K44&lt;=N($H44),MAX(0,2*N($H44)-$K44),0))</f>
        <v/>
      </c>
    </row>
    <row r="45" customFormat="false" ht="15" hidden="false" customHeight="false" outlineLevel="0" collapsed="false">
      <c r="A45" s="23"/>
      <c r="B45" s="23"/>
      <c r="C45" s="23"/>
      <c r="D45" s="23"/>
      <c r="E45" s="24"/>
      <c r="F45" s="24"/>
      <c r="G45" s="24"/>
      <c r="H45" s="24"/>
      <c r="I45" s="21" t="str">
        <f aca="false">IF($A45="","",SUMIFS(Mouvements!$E$5:$E$1004,Mouvements!$B$5:$B$1004,$A45,Mouvements!$D$5:$D$1004,"Entrée"))</f>
        <v/>
      </c>
      <c r="J45" s="21" t="str">
        <f aca="false">IF($A45="","",SUMIFS(Mouvements!$E$5:$E$1004,Mouvements!$B$5:$B$1004,$A45,Mouvements!$D$5:$D$1004,"Sortie"))</f>
        <v/>
      </c>
      <c r="K45" s="21" t="str">
        <f aca="false">IF($A45="","",N($G45)+$I45-$J45)</f>
        <v/>
      </c>
      <c r="L45" s="21" t="str">
        <f aca="false">IF($A45="","",$K45*N($E45))</f>
        <v/>
      </c>
      <c r="M45" s="22" t="str">
        <f aca="false">IF($A45="","",IF($K45&lt;=0,"Rupture",IF($K45&lt;=N($H45),"À commander","OK")))</f>
        <v/>
      </c>
      <c r="N45" s="23"/>
      <c r="O45" s="23"/>
      <c r="P45" s="21" t="str">
        <f aca="false">IF($A45="","",IF($K45&lt;=N($H45),MAX(0,2*N($H45)-$K45),0))</f>
        <v/>
      </c>
    </row>
    <row r="46" customFormat="false" ht="15" hidden="false" customHeight="false" outlineLevel="0" collapsed="false">
      <c r="A46" s="23"/>
      <c r="B46" s="23"/>
      <c r="C46" s="23"/>
      <c r="D46" s="23"/>
      <c r="E46" s="24"/>
      <c r="F46" s="24"/>
      <c r="G46" s="24"/>
      <c r="H46" s="24"/>
      <c r="I46" s="21" t="str">
        <f aca="false">IF($A46="","",SUMIFS(Mouvements!$E$5:$E$1004,Mouvements!$B$5:$B$1004,$A46,Mouvements!$D$5:$D$1004,"Entrée"))</f>
        <v/>
      </c>
      <c r="J46" s="21" t="str">
        <f aca="false">IF($A46="","",SUMIFS(Mouvements!$E$5:$E$1004,Mouvements!$B$5:$B$1004,$A46,Mouvements!$D$5:$D$1004,"Sortie"))</f>
        <v/>
      </c>
      <c r="K46" s="21" t="str">
        <f aca="false">IF($A46="","",N($G46)+$I46-$J46)</f>
        <v/>
      </c>
      <c r="L46" s="21" t="str">
        <f aca="false">IF($A46="","",$K46*N($E46))</f>
        <v/>
      </c>
      <c r="M46" s="22" t="str">
        <f aca="false">IF($A46="","",IF($K46&lt;=0,"Rupture",IF($K46&lt;=N($H46),"À commander","OK")))</f>
        <v/>
      </c>
      <c r="N46" s="23"/>
      <c r="O46" s="23"/>
      <c r="P46" s="21" t="str">
        <f aca="false">IF($A46="","",IF($K46&lt;=N($H46),MAX(0,2*N($H46)-$K46),0))</f>
        <v/>
      </c>
    </row>
    <row r="47" customFormat="false" ht="15" hidden="false" customHeight="false" outlineLevel="0" collapsed="false">
      <c r="A47" s="23"/>
      <c r="B47" s="23"/>
      <c r="C47" s="23"/>
      <c r="D47" s="23"/>
      <c r="E47" s="24"/>
      <c r="F47" s="24"/>
      <c r="G47" s="24"/>
      <c r="H47" s="24"/>
      <c r="I47" s="21" t="str">
        <f aca="false">IF($A47="","",SUMIFS(Mouvements!$E$5:$E$1004,Mouvements!$B$5:$B$1004,$A47,Mouvements!$D$5:$D$1004,"Entrée"))</f>
        <v/>
      </c>
      <c r="J47" s="21" t="str">
        <f aca="false">IF($A47="","",SUMIFS(Mouvements!$E$5:$E$1004,Mouvements!$B$5:$B$1004,$A47,Mouvements!$D$5:$D$1004,"Sortie"))</f>
        <v/>
      </c>
      <c r="K47" s="21" t="str">
        <f aca="false">IF($A47="","",N($G47)+$I47-$J47)</f>
        <v/>
      </c>
      <c r="L47" s="21" t="str">
        <f aca="false">IF($A47="","",$K47*N($E47))</f>
        <v/>
      </c>
      <c r="M47" s="22" t="str">
        <f aca="false">IF($A47="","",IF($K47&lt;=0,"Rupture",IF($K47&lt;=N($H47),"À commander","OK")))</f>
        <v/>
      </c>
      <c r="N47" s="23"/>
      <c r="O47" s="23"/>
      <c r="P47" s="21" t="str">
        <f aca="false">IF($A47="","",IF($K47&lt;=N($H47),MAX(0,2*N($H47)-$K47),0))</f>
        <v/>
      </c>
    </row>
    <row r="48" customFormat="false" ht="15" hidden="false" customHeight="false" outlineLevel="0" collapsed="false">
      <c r="A48" s="23"/>
      <c r="B48" s="23"/>
      <c r="C48" s="23"/>
      <c r="D48" s="23"/>
      <c r="E48" s="24"/>
      <c r="F48" s="24"/>
      <c r="G48" s="24"/>
      <c r="H48" s="24"/>
      <c r="I48" s="21" t="str">
        <f aca="false">IF($A48="","",SUMIFS(Mouvements!$E$5:$E$1004,Mouvements!$B$5:$B$1004,$A48,Mouvements!$D$5:$D$1004,"Entrée"))</f>
        <v/>
      </c>
      <c r="J48" s="21" t="str">
        <f aca="false">IF($A48="","",SUMIFS(Mouvements!$E$5:$E$1004,Mouvements!$B$5:$B$1004,$A48,Mouvements!$D$5:$D$1004,"Sortie"))</f>
        <v/>
      </c>
      <c r="K48" s="21" t="str">
        <f aca="false">IF($A48="","",N($G48)+$I48-$J48)</f>
        <v/>
      </c>
      <c r="L48" s="21" t="str">
        <f aca="false">IF($A48="","",$K48*N($E48))</f>
        <v/>
      </c>
      <c r="M48" s="22" t="str">
        <f aca="false">IF($A48="","",IF($K48&lt;=0,"Rupture",IF($K48&lt;=N($H48),"À commander","OK")))</f>
        <v/>
      </c>
      <c r="N48" s="23"/>
      <c r="O48" s="23"/>
      <c r="P48" s="21" t="str">
        <f aca="false">IF($A48="","",IF($K48&lt;=N($H48),MAX(0,2*N($H48)-$K48),0))</f>
        <v/>
      </c>
    </row>
    <row r="49" customFormat="false" ht="15" hidden="false" customHeight="false" outlineLevel="0" collapsed="false">
      <c r="A49" s="23"/>
      <c r="B49" s="23"/>
      <c r="C49" s="23"/>
      <c r="D49" s="23"/>
      <c r="E49" s="24"/>
      <c r="F49" s="24"/>
      <c r="G49" s="24"/>
      <c r="H49" s="24"/>
      <c r="I49" s="21" t="str">
        <f aca="false">IF($A49="","",SUMIFS(Mouvements!$E$5:$E$1004,Mouvements!$B$5:$B$1004,$A49,Mouvements!$D$5:$D$1004,"Entrée"))</f>
        <v/>
      </c>
      <c r="J49" s="21" t="str">
        <f aca="false">IF($A49="","",SUMIFS(Mouvements!$E$5:$E$1004,Mouvements!$B$5:$B$1004,$A49,Mouvements!$D$5:$D$1004,"Sortie"))</f>
        <v/>
      </c>
      <c r="K49" s="21" t="str">
        <f aca="false">IF($A49="","",N($G49)+$I49-$J49)</f>
        <v/>
      </c>
      <c r="L49" s="21" t="str">
        <f aca="false">IF($A49="","",$K49*N($E49))</f>
        <v/>
      </c>
      <c r="M49" s="22" t="str">
        <f aca="false">IF($A49="","",IF($K49&lt;=0,"Rupture",IF($K49&lt;=N($H49),"À commander","OK")))</f>
        <v/>
      </c>
      <c r="N49" s="23"/>
      <c r="O49" s="23"/>
      <c r="P49" s="21" t="str">
        <f aca="false">IF($A49="","",IF($K49&lt;=N($H49),MAX(0,2*N($H49)-$K49),0))</f>
        <v/>
      </c>
    </row>
    <row r="50" customFormat="false" ht="15" hidden="false" customHeight="false" outlineLevel="0" collapsed="false">
      <c r="A50" s="23"/>
      <c r="B50" s="23"/>
      <c r="C50" s="23"/>
      <c r="D50" s="23"/>
      <c r="E50" s="24"/>
      <c r="F50" s="24"/>
      <c r="G50" s="24"/>
      <c r="H50" s="24"/>
      <c r="I50" s="21" t="str">
        <f aca="false">IF($A50="","",SUMIFS(Mouvements!$E$5:$E$1004,Mouvements!$B$5:$B$1004,$A50,Mouvements!$D$5:$D$1004,"Entrée"))</f>
        <v/>
      </c>
      <c r="J50" s="21" t="str">
        <f aca="false">IF($A50="","",SUMIFS(Mouvements!$E$5:$E$1004,Mouvements!$B$5:$B$1004,$A50,Mouvements!$D$5:$D$1004,"Sortie"))</f>
        <v/>
      </c>
      <c r="K50" s="21" t="str">
        <f aca="false">IF($A50="","",N($G50)+$I50-$J50)</f>
        <v/>
      </c>
      <c r="L50" s="21" t="str">
        <f aca="false">IF($A50="","",$K50*N($E50))</f>
        <v/>
      </c>
      <c r="M50" s="22" t="str">
        <f aca="false">IF($A50="","",IF($K50&lt;=0,"Rupture",IF($K50&lt;=N($H50),"À commander","OK")))</f>
        <v/>
      </c>
      <c r="N50" s="23"/>
      <c r="O50" s="23"/>
      <c r="P50" s="21" t="str">
        <f aca="false">IF($A50="","",IF($K50&lt;=N($H50),MAX(0,2*N($H50)-$K50),0))</f>
        <v/>
      </c>
    </row>
    <row r="51" customFormat="false" ht="15" hidden="false" customHeight="false" outlineLevel="0" collapsed="false">
      <c r="A51" s="23"/>
      <c r="B51" s="23"/>
      <c r="C51" s="23"/>
      <c r="D51" s="23"/>
      <c r="E51" s="24"/>
      <c r="F51" s="24"/>
      <c r="G51" s="24"/>
      <c r="H51" s="24"/>
      <c r="I51" s="21" t="str">
        <f aca="false">IF($A51="","",SUMIFS(Mouvements!$E$5:$E$1004,Mouvements!$B$5:$B$1004,$A51,Mouvements!$D$5:$D$1004,"Entrée"))</f>
        <v/>
      </c>
      <c r="J51" s="21" t="str">
        <f aca="false">IF($A51="","",SUMIFS(Mouvements!$E$5:$E$1004,Mouvements!$B$5:$B$1004,$A51,Mouvements!$D$5:$D$1004,"Sortie"))</f>
        <v/>
      </c>
      <c r="K51" s="21" t="str">
        <f aca="false">IF($A51="","",N($G51)+$I51-$J51)</f>
        <v/>
      </c>
      <c r="L51" s="21" t="str">
        <f aca="false">IF($A51="","",$K51*N($E51))</f>
        <v/>
      </c>
      <c r="M51" s="22" t="str">
        <f aca="false">IF($A51="","",IF($K51&lt;=0,"Rupture",IF($K51&lt;=N($H51),"À commander","OK")))</f>
        <v/>
      </c>
      <c r="N51" s="23"/>
      <c r="O51" s="23"/>
      <c r="P51" s="21" t="str">
        <f aca="false">IF($A51="","",IF($K51&lt;=N($H51),MAX(0,2*N($H51)-$K51),0))</f>
        <v/>
      </c>
    </row>
    <row r="52" customFormat="false" ht="15" hidden="false" customHeight="false" outlineLevel="0" collapsed="false">
      <c r="A52" s="23"/>
      <c r="B52" s="23"/>
      <c r="C52" s="23"/>
      <c r="D52" s="23"/>
      <c r="E52" s="24"/>
      <c r="F52" s="24"/>
      <c r="G52" s="24"/>
      <c r="H52" s="24"/>
      <c r="I52" s="21" t="str">
        <f aca="false">IF($A52="","",SUMIFS(Mouvements!$E$5:$E$1004,Mouvements!$B$5:$B$1004,$A52,Mouvements!$D$5:$D$1004,"Entrée"))</f>
        <v/>
      </c>
      <c r="J52" s="21" t="str">
        <f aca="false">IF($A52="","",SUMIFS(Mouvements!$E$5:$E$1004,Mouvements!$B$5:$B$1004,$A52,Mouvements!$D$5:$D$1004,"Sortie"))</f>
        <v/>
      </c>
      <c r="K52" s="21" t="str">
        <f aca="false">IF($A52="","",N($G52)+$I52-$J52)</f>
        <v/>
      </c>
      <c r="L52" s="21" t="str">
        <f aca="false">IF($A52="","",$K52*N($E52))</f>
        <v/>
      </c>
      <c r="M52" s="22" t="str">
        <f aca="false">IF($A52="","",IF($K52&lt;=0,"Rupture",IF($K52&lt;=N($H52),"À commander","OK")))</f>
        <v/>
      </c>
      <c r="N52" s="23"/>
      <c r="O52" s="23"/>
      <c r="P52" s="21" t="str">
        <f aca="false">IF($A52="","",IF($K52&lt;=N($H52),MAX(0,2*N($H52)-$K52),0))</f>
        <v/>
      </c>
    </row>
    <row r="53" customFormat="false" ht="15" hidden="false" customHeight="false" outlineLevel="0" collapsed="false">
      <c r="A53" s="23"/>
      <c r="B53" s="23"/>
      <c r="C53" s="23"/>
      <c r="D53" s="23"/>
      <c r="E53" s="24"/>
      <c r="F53" s="24"/>
      <c r="G53" s="24"/>
      <c r="H53" s="24"/>
      <c r="I53" s="21" t="str">
        <f aca="false">IF($A53="","",SUMIFS(Mouvements!$E$5:$E$1004,Mouvements!$B$5:$B$1004,$A53,Mouvements!$D$5:$D$1004,"Entrée"))</f>
        <v/>
      </c>
      <c r="J53" s="21" t="str">
        <f aca="false">IF($A53="","",SUMIFS(Mouvements!$E$5:$E$1004,Mouvements!$B$5:$B$1004,$A53,Mouvements!$D$5:$D$1004,"Sortie"))</f>
        <v/>
      </c>
      <c r="K53" s="21" t="str">
        <f aca="false">IF($A53="","",N($G53)+$I53-$J53)</f>
        <v/>
      </c>
      <c r="L53" s="21" t="str">
        <f aca="false">IF($A53="","",$K53*N($E53))</f>
        <v/>
      </c>
      <c r="M53" s="22" t="str">
        <f aca="false">IF($A53="","",IF($K53&lt;=0,"Rupture",IF($K53&lt;=N($H53),"À commander","OK")))</f>
        <v/>
      </c>
      <c r="N53" s="23"/>
      <c r="O53" s="23"/>
      <c r="P53" s="21" t="str">
        <f aca="false">IF($A53="","",IF($K53&lt;=N($H53),MAX(0,2*N($H53)-$K53),0))</f>
        <v/>
      </c>
    </row>
    <row r="54" customFormat="false" ht="15" hidden="false" customHeight="false" outlineLevel="0" collapsed="false">
      <c r="A54" s="23"/>
      <c r="B54" s="23"/>
      <c r="C54" s="23"/>
      <c r="D54" s="23"/>
      <c r="E54" s="24"/>
      <c r="F54" s="24"/>
      <c r="G54" s="24"/>
      <c r="H54" s="24"/>
      <c r="I54" s="21" t="str">
        <f aca="false">IF($A54="","",SUMIFS(Mouvements!$E$5:$E$1004,Mouvements!$B$5:$B$1004,$A54,Mouvements!$D$5:$D$1004,"Entrée"))</f>
        <v/>
      </c>
      <c r="J54" s="21" t="str">
        <f aca="false">IF($A54="","",SUMIFS(Mouvements!$E$5:$E$1004,Mouvements!$B$5:$B$1004,$A54,Mouvements!$D$5:$D$1004,"Sortie"))</f>
        <v/>
      </c>
      <c r="K54" s="21" t="str">
        <f aca="false">IF($A54="","",N($G54)+$I54-$J54)</f>
        <v/>
      </c>
      <c r="L54" s="21" t="str">
        <f aca="false">IF($A54="","",$K54*N($E54))</f>
        <v/>
      </c>
      <c r="M54" s="22" t="str">
        <f aca="false">IF($A54="","",IF($K54&lt;=0,"Rupture",IF($K54&lt;=N($H54),"À commander","OK")))</f>
        <v/>
      </c>
      <c r="N54" s="23"/>
      <c r="O54" s="23"/>
      <c r="P54" s="21" t="str">
        <f aca="false">IF($A54="","",IF($K54&lt;=N($H54),MAX(0,2*N($H54)-$K54),0))</f>
        <v/>
      </c>
    </row>
    <row r="55" customFormat="false" ht="15" hidden="false" customHeight="false" outlineLevel="0" collapsed="false">
      <c r="A55" s="23"/>
      <c r="B55" s="23"/>
      <c r="C55" s="23"/>
      <c r="D55" s="23"/>
      <c r="E55" s="24"/>
      <c r="F55" s="24"/>
      <c r="G55" s="24"/>
      <c r="H55" s="24"/>
      <c r="I55" s="21" t="str">
        <f aca="false">IF($A55="","",SUMIFS(Mouvements!$E$5:$E$1004,Mouvements!$B$5:$B$1004,$A55,Mouvements!$D$5:$D$1004,"Entrée"))</f>
        <v/>
      </c>
      <c r="J55" s="21" t="str">
        <f aca="false">IF($A55="","",SUMIFS(Mouvements!$E$5:$E$1004,Mouvements!$B$5:$B$1004,$A55,Mouvements!$D$5:$D$1004,"Sortie"))</f>
        <v/>
      </c>
      <c r="K55" s="21" t="str">
        <f aca="false">IF($A55="","",N($G55)+$I55-$J55)</f>
        <v/>
      </c>
      <c r="L55" s="21" t="str">
        <f aca="false">IF($A55="","",$K55*N($E55))</f>
        <v/>
      </c>
      <c r="M55" s="22" t="str">
        <f aca="false">IF($A55="","",IF($K55&lt;=0,"Rupture",IF($K55&lt;=N($H55),"À commander","OK")))</f>
        <v/>
      </c>
      <c r="N55" s="23"/>
      <c r="O55" s="23"/>
      <c r="P55" s="21" t="str">
        <f aca="false">IF($A55="","",IF($K55&lt;=N($H55),MAX(0,2*N($H55)-$K55),0))</f>
        <v/>
      </c>
    </row>
    <row r="56" customFormat="false" ht="15" hidden="false" customHeight="false" outlineLevel="0" collapsed="false">
      <c r="A56" s="23"/>
      <c r="B56" s="23"/>
      <c r="C56" s="23"/>
      <c r="D56" s="23"/>
      <c r="E56" s="24"/>
      <c r="F56" s="24"/>
      <c r="G56" s="24"/>
      <c r="H56" s="24"/>
      <c r="I56" s="21" t="str">
        <f aca="false">IF($A56="","",SUMIFS(Mouvements!$E$5:$E$1004,Mouvements!$B$5:$B$1004,$A56,Mouvements!$D$5:$D$1004,"Entrée"))</f>
        <v/>
      </c>
      <c r="J56" s="21" t="str">
        <f aca="false">IF($A56="","",SUMIFS(Mouvements!$E$5:$E$1004,Mouvements!$B$5:$B$1004,$A56,Mouvements!$D$5:$D$1004,"Sortie"))</f>
        <v/>
      </c>
      <c r="K56" s="21" t="str">
        <f aca="false">IF($A56="","",N($G56)+$I56-$J56)</f>
        <v/>
      </c>
      <c r="L56" s="21" t="str">
        <f aca="false">IF($A56="","",$K56*N($E56))</f>
        <v/>
      </c>
      <c r="M56" s="22" t="str">
        <f aca="false">IF($A56="","",IF($K56&lt;=0,"Rupture",IF($K56&lt;=N($H56),"À commander","OK")))</f>
        <v/>
      </c>
      <c r="N56" s="23"/>
      <c r="O56" s="23"/>
      <c r="P56" s="21" t="str">
        <f aca="false">IF($A56="","",IF($K56&lt;=N($H56),MAX(0,2*N($H56)-$K56),0))</f>
        <v/>
      </c>
    </row>
    <row r="57" customFormat="false" ht="15" hidden="false" customHeight="false" outlineLevel="0" collapsed="false">
      <c r="A57" s="23"/>
      <c r="B57" s="23"/>
      <c r="C57" s="23"/>
      <c r="D57" s="23"/>
      <c r="E57" s="24"/>
      <c r="F57" s="24"/>
      <c r="G57" s="24"/>
      <c r="H57" s="24"/>
      <c r="I57" s="21" t="str">
        <f aca="false">IF($A57="","",SUMIFS(Mouvements!$E$5:$E$1004,Mouvements!$B$5:$B$1004,$A57,Mouvements!$D$5:$D$1004,"Entrée"))</f>
        <v/>
      </c>
      <c r="J57" s="21" t="str">
        <f aca="false">IF($A57="","",SUMIFS(Mouvements!$E$5:$E$1004,Mouvements!$B$5:$B$1004,$A57,Mouvements!$D$5:$D$1004,"Sortie"))</f>
        <v/>
      </c>
      <c r="K57" s="21" t="str">
        <f aca="false">IF($A57="","",N($G57)+$I57-$J57)</f>
        <v/>
      </c>
      <c r="L57" s="21" t="str">
        <f aca="false">IF($A57="","",$K57*N($E57))</f>
        <v/>
      </c>
      <c r="M57" s="22" t="str">
        <f aca="false">IF($A57="","",IF($K57&lt;=0,"Rupture",IF($K57&lt;=N($H57),"À commander","OK")))</f>
        <v/>
      </c>
      <c r="N57" s="23"/>
      <c r="O57" s="23"/>
      <c r="P57" s="21" t="str">
        <f aca="false">IF($A57="","",IF($K57&lt;=N($H57),MAX(0,2*N($H57)-$K57),0))</f>
        <v/>
      </c>
    </row>
    <row r="58" customFormat="false" ht="15" hidden="false" customHeight="false" outlineLevel="0" collapsed="false">
      <c r="A58" s="23"/>
      <c r="B58" s="23"/>
      <c r="C58" s="23"/>
      <c r="D58" s="23"/>
      <c r="E58" s="24"/>
      <c r="F58" s="24"/>
      <c r="G58" s="24"/>
      <c r="H58" s="24"/>
      <c r="I58" s="21" t="str">
        <f aca="false">IF($A58="","",SUMIFS(Mouvements!$E$5:$E$1004,Mouvements!$B$5:$B$1004,$A58,Mouvements!$D$5:$D$1004,"Entrée"))</f>
        <v/>
      </c>
      <c r="J58" s="21" t="str">
        <f aca="false">IF($A58="","",SUMIFS(Mouvements!$E$5:$E$1004,Mouvements!$B$5:$B$1004,$A58,Mouvements!$D$5:$D$1004,"Sortie"))</f>
        <v/>
      </c>
      <c r="K58" s="21" t="str">
        <f aca="false">IF($A58="","",N($G58)+$I58-$J58)</f>
        <v/>
      </c>
      <c r="L58" s="21" t="str">
        <f aca="false">IF($A58="","",$K58*N($E58))</f>
        <v/>
      </c>
      <c r="M58" s="22" t="str">
        <f aca="false">IF($A58="","",IF($K58&lt;=0,"Rupture",IF($K58&lt;=N($H58),"À commander","OK")))</f>
        <v/>
      </c>
      <c r="N58" s="23"/>
      <c r="O58" s="23"/>
      <c r="P58" s="21" t="str">
        <f aca="false">IF($A58="","",IF($K58&lt;=N($H58),MAX(0,2*N($H58)-$K58),0))</f>
        <v/>
      </c>
    </row>
    <row r="59" customFormat="false" ht="15" hidden="false" customHeight="false" outlineLevel="0" collapsed="false">
      <c r="A59" s="23"/>
      <c r="B59" s="23"/>
      <c r="C59" s="23"/>
      <c r="D59" s="23"/>
      <c r="E59" s="24"/>
      <c r="F59" s="24"/>
      <c r="G59" s="24"/>
      <c r="H59" s="24"/>
      <c r="I59" s="21" t="str">
        <f aca="false">IF($A59="","",SUMIFS(Mouvements!$E$5:$E$1004,Mouvements!$B$5:$B$1004,$A59,Mouvements!$D$5:$D$1004,"Entrée"))</f>
        <v/>
      </c>
      <c r="J59" s="21" t="str">
        <f aca="false">IF($A59="","",SUMIFS(Mouvements!$E$5:$E$1004,Mouvements!$B$5:$B$1004,$A59,Mouvements!$D$5:$D$1004,"Sortie"))</f>
        <v/>
      </c>
      <c r="K59" s="21" t="str">
        <f aca="false">IF($A59="","",N($G59)+$I59-$J59)</f>
        <v/>
      </c>
      <c r="L59" s="21" t="str">
        <f aca="false">IF($A59="","",$K59*N($E59))</f>
        <v/>
      </c>
      <c r="M59" s="22" t="str">
        <f aca="false">IF($A59="","",IF($K59&lt;=0,"Rupture",IF($K59&lt;=N($H59),"À commander","OK")))</f>
        <v/>
      </c>
      <c r="N59" s="23"/>
      <c r="O59" s="23"/>
      <c r="P59" s="21" t="str">
        <f aca="false">IF($A59="","",IF($K59&lt;=N($H59),MAX(0,2*N($H59)-$K59),0))</f>
        <v/>
      </c>
    </row>
    <row r="60" customFormat="false" ht="15" hidden="false" customHeight="false" outlineLevel="0" collapsed="false">
      <c r="A60" s="23"/>
      <c r="B60" s="23"/>
      <c r="C60" s="23"/>
      <c r="D60" s="23"/>
      <c r="E60" s="24"/>
      <c r="F60" s="24"/>
      <c r="G60" s="24"/>
      <c r="H60" s="24"/>
      <c r="I60" s="21" t="str">
        <f aca="false">IF($A60="","",SUMIFS(Mouvements!$E$5:$E$1004,Mouvements!$B$5:$B$1004,$A60,Mouvements!$D$5:$D$1004,"Entrée"))</f>
        <v/>
      </c>
      <c r="J60" s="21" t="str">
        <f aca="false">IF($A60="","",SUMIFS(Mouvements!$E$5:$E$1004,Mouvements!$B$5:$B$1004,$A60,Mouvements!$D$5:$D$1004,"Sortie"))</f>
        <v/>
      </c>
      <c r="K60" s="21" t="str">
        <f aca="false">IF($A60="","",N($G60)+$I60-$J60)</f>
        <v/>
      </c>
      <c r="L60" s="21" t="str">
        <f aca="false">IF($A60="","",$K60*N($E60))</f>
        <v/>
      </c>
      <c r="M60" s="22" t="str">
        <f aca="false">IF($A60="","",IF($K60&lt;=0,"Rupture",IF($K60&lt;=N($H60),"À commander","OK")))</f>
        <v/>
      </c>
      <c r="N60" s="23"/>
      <c r="O60" s="23"/>
      <c r="P60" s="21" t="str">
        <f aca="false">IF($A60="","",IF($K60&lt;=N($H60),MAX(0,2*N($H60)-$K60),0))</f>
        <v/>
      </c>
    </row>
    <row r="61" customFormat="false" ht="15" hidden="false" customHeight="false" outlineLevel="0" collapsed="false">
      <c r="A61" s="23"/>
      <c r="B61" s="23"/>
      <c r="C61" s="23"/>
      <c r="D61" s="23"/>
      <c r="E61" s="24"/>
      <c r="F61" s="24"/>
      <c r="G61" s="24"/>
      <c r="H61" s="24"/>
      <c r="I61" s="21" t="str">
        <f aca="false">IF($A61="","",SUMIFS(Mouvements!$E$5:$E$1004,Mouvements!$B$5:$B$1004,$A61,Mouvements!$D$5:$D$1004,"Entrée"))</f>
        <v/>
      </c>
      <c r="J61" s="21" t="str">
        <f aca="false">IF($A61="","",SUMIFS(Mouvements!$E$5:$E$1004,Mouvements!$B$5:$B$1004,$A61,Mouvements!$D$5:$D$1004,"Sortie"))</f>
        <v/>
      </c>
      <c r="K61" s="21" t="str">
        <f aca="false">IF($A61="","",N($G61)+$I61-$J61)</f>
        <v/>
      </c>
      <c r="L61" s="21" t="str">
        <f aca="false">IF($A61="","",$K61*N($E61))</f>
        <v/>
      </c>
      <c r="M61" s="22" t="str">
        <f aca="false">IF($A61="","",IF($K61&lt;=0,"Rupture",IF($K61&lt;=N($H61),"À commander","OK")))</f>
        <v/>
      </c>
      <c r="N61" s="23"/>
      <c r="O61" s="23"/>
      <c r="P61" s="21" t="str">
        <f aca="false">IF($A61="","",IF($K61&lt;=N($H61),MAX(0,2*N($H61)-$K61),0))</f>
        <v/>
      </c>
    </row>
    <row r="62" customFormat="false" ht="15" hidden="false" customHeight="false" outlineLevel="0" collapsed="false">
      <c r="A62" s="23"/>
      <c r="B62" s="23"/>
      <c r="C62" s="23"/>
      <c r="D62" s="23"/>
      <c r="E62" s="24"/>
      <c r="F62" s="24"/>
      <c r="G62" s="24"/>
      <c r="H62" s="24"/>
      <c r="I62" s="21" t="str">
        <f aca="false">IF($A62="","",SUMIFS(Mouvements!$E$5:$E$1004,Mouvements!$B$5:$B$1004,$A62,Mouvements!$D$5:$D$1004,"Entrée"))</f>
        <v/>
      </c>
      <c r="J62" s="21" t="str">
        <f aca="false">IF($A62="","",SUMIFS(Mouvements!$E$5:$E$1004,Mouvements!$B$5:$B$1004,$A62,Mouvements!$D$5:$D$1004,"Sortie"))</f>
        <v/>
      </c>
      <c r="K62" s="21" t="str">
        <f aca="false">IF($A62="","",N($G62)+$I62-$J62)</f>
        <v/>
      </c>
      <c r="L62" s="21" t="str">
        <f aca="false">IF($A62="","",$K62*N($E62))</f>
        <v/>
      </c>
      <c r="M62" s="22" t="str">
        <f aca="false">IF($A62="","",IF($K62&lt;=0,"Rupture",IF($K62&lt;=N($H62),"À commander","OK")))</f>
        <v/>
      </c>
      <c r="N62" s="23"/>
      <c r="O62" s="23"/>
      <c r="P62" s="21" t="str">
        <f aca="false">IF($A62="","",IF($K62&lt;=N($H62),MAX(0,2*N($H62)-$K62),0))</f>
        <v/>
      </c>
    </row>
    <row r="63" customFormat="false" ht="15" hidden="false" customHeight="false" outlineLevel="0" collapsed="false">
      <c r="A63" s="23"/>
      <c r="B63" s="23"/>
      <c r="C63" s="23"/>
      <c r="D63" s="23"/>
      <c r="E63" s="24"/>
      <c r="F63" s="24"/>
      <c r="G63" s="24"/>
      <c r="H63" s="24"/>
      <c r="I63" s="21" t="str">
        <f aca="false">IF($A63="","",SUMIFS(Mouvements!$E$5:$E$1004,Mouvements!$B$5:$B$1004,$A63,Mouvements!$D$5:$D$1004,"Entrée"))</f>
        <v/>
      </c>
      <c r="J63" s="21" t="str">
        <f aca="false">IF($A63="","",SUMIFS(Mouvements!$E$5:$E$1004,Mouvements!$B$5:$B$1004,$A63,Mouvements!$D$5:$D$1004,"Sortie"))</f>
        <v/>
      </c>
      <c r="K63" s="21" t="str">
        <f aca="false">IF($A63="","",N($G63)+$I63-$J63)</f>
        <v/>
      </c>
      <c r="L63" s="21" t="str">
        <f aca="false">IF($A63="","",$K63*N($E63))</f>
        <v/>
      </c>
      <c r="M63" s="22" t="str">
        <f aca="false">IF($A63="","",IF($K63&lt;=0,"Rupture",IF($K63&lt;=N($H63),"À commander","OK")))</f>
        <v/>
      </c>
      <c r="N63" s="23"/>
      <c r="O63" s="23"/>
      <c r="P63" s="21" t="str">
        <f aca="false">IF($A63="","",IF($K63&lt;=N($H63),MAX(0,2*N($H63)-$K63),0))</f>
        <v/>
      </c>
    </row>
    <row r="64" customFormat="false" ht="15" hidden="false" customHeight="false" outlineLevel="0" collapsed="false">
      <c r="A64" s="23"/>
      <c r="B64" s="23"/>
      <c r="C64" s="23"/>
      <c r="D64" s="23"/>
      <c r="E64" s="24"/>
      <c r="F64" s="24"/>
      <c r="G64" s="24"/>
      <c r="H64" s="24"/>
      <c r="I64" s="21" t="str">
        <f aca="false">IF($A64="","",SUMIFS(Mouvements!$E$5:$E$1004,Mouvements!$B$5:$B$1004,$A64,Mouvements!$D$5:$D$1004,"Entrée"))</f>
        <v/>
      </c>
      <c r="J64" s="21" t="str">
        <f aca="false">IF($A64="","",SUMIFS(Mouvements!$E$5:$E$1004,Mouvements!$B$5:$B$1004,$A64,Mouvements!$D$5:$D$1004,"Sortie"))</f>
        <v/>
      </c>
      <c r="K64" s="21" t="str">
        <f aca="false">IF($A64="","",N($G64)+$I64-$J64)</f>
        <v/>
      </c>
      <c r="L64" s="21" t="str">
        <f aca="false">IF($A64="","",$K64*N($E64))</f>
        <v/>
      </c>
      <c r="M64" s="22" t="str">
        <f aca="false">IF($A64="","",IF($K64&lt;=0,"Rupture",IF($K64&lt;=N($H64),"À commander","OK")))</f>
        <v/>
      </c>
      <c r="N64" s="23"/>
      <c r="O64" s="23"/>
      <c r="P64" s="21" t="str">
        <f aca="false">IF($A64="","",IF($K64&lt;=N($H64),MAX(0,2*N($H64)-$K64),0))</f>
        <v/>
      </c>
    </row>
    <row r="65" customFormat="false" ht="15" hidden="false" customHeight="false" outlineLevel="0" collapsed="false">
      <c r="A65" s="23"/>
      <c r="B65" s="23"/>
      <c r="C65" s="23"/>
      <c r="D65" s="23"/>
      <c r="E65" s="24"/>
      <c r="F65" s="24"/>
      <c r="G65" s="24"/>
      <c r="H65" s="24"/>
      <c r="I65" s="21" t="str">
        <f aca="false">IF($A65="","",SUMIFS(Mouvements!$E$5:$E$1004,Mouvements!$B$5:$B$1004,$A65,Mouvements!$D$5:$D$1004,"Entrée"))</f>
        <v/>
      </c>
      <c r="J65" s="21" t="str">
        <f aca="false">IF($A65="","",SUMIFS(Mouvements!$E$5:$E$1004,Mouvements!$B$5:$B$1004,$A65,Mouvements!$D$5:$D$1004,"Sortie"))</f>
        <v/>
      </c>
      <c r="K65" s="21" t="str">
        <f aca="false">IF($A65="","",N($G65)+$I65-$J65)</f>
        <v/>
      </c>
      <c r="L65" s="21" t="str">
        <f aca="false">IF($A65="","",$K65*N($E65))</f>
        <v/>
      </c>
      <c r="M65" s="22" t="str">
        <f aca="false">IF($A65="","",IF($K65&lt;=0,"Rupture",IF($K65&lt;=N($H65),"À commander","OK")))</f>
        <v/>
      </c>
      <c r="N65" s="23"/>
      <c r="O65" s="23"/>
      <c r="P65" s="21" t="str">
        <f aca="false">IF($A65="","",IF($K65&lt;=N($H65),MAX(0,2*N($H65)-$K65),0))</f>
        <v/>
      </c>
    </row>
    <row r="66" customFormat="false" ht="15" hidden="false" customHeight="false" outlineLevel="0" collapsed="false">
      <c r="A66" s="23"/>
      <c r="B66" s="23"/>
      <c r="C66" s="23"/>
      <c r="D66" s="23"/>
      <c r="E66" s="24"/>
      <c r="F66" s="24"/>
      <c r="G66" s="24"/>
      <c r="H66" s="24"/>
      <c r="I66" s="21" t="str">
        <f aca="false">IF($A66="","",SUMIFS(Mouvements!$E$5:$E$1004,Mouvements!$B$5:$B$1004,$A66,Mouvements!$D$5:$D$1004,"Entrée"))</f>
        <v/>
      </c>
      <c r="J66" s="21" t="str">
        <f aca="false">IF($A66="","",SUMIFS(Mouvements!$E$5:$E$1004,Mouvements!$B$5:$B$1004,$A66,Mouvements!$D$5:$D$1004,"Sortie"))</f>
        <v/>
      </c>
      <c r="K66" s="21" t="str">
        <f aca="false">IF($A66="","",N($G66)+$I66-$J66)</f>
        <v/>
      </c>
      <c r="L66" s="21" t="str">
        <f aca="false">IF($A66="","",$K66*N($E66))</f>
        <v/>
      </c>
      <c r="M66" s="22" t="str">
        <f aca="false">IF($A66="","",IF($K66&lt;=0,"Rupture",IF($K66&lt;=N($H66),"À commander","OK")))</f>
        <v/>
      </c>
      <c r="N66" s="23"/>
      <c r="O66" s="23"/>
      <c r="P66" s="21" t="str">
        <f aca="false">IF($A66="","",IF($K66&lt;=N($H66),MAX(0,2*N($H66)-$K66),0))</f>
        <v/>
      </c>
    </row>
    <row r="67" customFormat="false" ht="15" hidden="false" customHeight="false" outlineLevel="0" collapsed="false">
      <c r="A67" s="23"/>
      <c r="B67" s="23"/>
      <c r="C67" s="23"/>
      <c r="D67" s="23"/>
      <c r="E67" s="24"/>
      <c r="F67" s="24"/>
      <c r="G67" s="24"/>
      <c r="H67" s="24"/>
      <c r="I67" s="21" t="str">
        <f aca="false">IF($A67="","",SUMIFS(Mouvements!$E$5:$E$1004,Mouvements!$B$5:$B$1004,$A67,Mouvements!$D$5:$D$1004,"Entrée"))</f>
        <v/>
      </c>
      <c r="J67" s="21" t="str">
        <f aca="false">IF($A67="","",SUMIFS(Mouvements!$E$5:$E$1004,Mouvements!$B$5:$B$1004,$A67,Mouvements!$D$5:$D$1004,"Sortie"))</f>
        <v/>
      </c>
      <c r="K67" s="21" t="str">
        <f aca="false">IF($A67="","",N($G67)+$I67-$J67)</f>
        <v/>
      </c>
      <c r="L67" s="21" t="str">
        <f aca="false">IF($A67="","",$K67*N($E67))</f>
        <v/>
      </c>
      <c r="M67" s="22" t="str">
        <f aca="false">IF($A67="","",IF($K67&lt;=0,"Rupture",IF($K67&lt;=N($H67),"À commander","OK")))</f>
        <v/>
      </c>
      <c r="N67" s="23"/>
      <c r="O67" s="23"/>
      <c r="P67" s="21" t="str">
        <f aca="false">IF($A67="","",IF($K67&lt;=N($H67),MAX(0,2*N($H67)-$K67),0))</f>
        <v/>
      </c>
    </row>
    <row r="68" customFormat="false" ht="15" hidden="false" customHeight="false" outlineLevel="0" collapsed="false">
      <c r="A68" s="23"/>
      <c r="B68" s="23"/>
      <c r="C68" s="23"/>
      <c r="D68" s="23"/>
      <c r="E68" s="24"/>
      <c r="F68" s="24"/>
      <c r="G68" s="24"/>
      <c r="H68" s="24"/>
      <c r="I68" s="21" t="str">
        <f aca="false">IF($A68="","",SUMIFS(Mouvements!$E$5:$E$1004,Mouvements!$B$5:$B$1004,$A68,Mouvements!$D$5:$D$1004,"Entrée"))</f>
        <v/>
      </c>
      <c r="J68" s="21" t="str">
        <f aca="false">IF($A68="","",SUMIFS(Mouvements!$E$5:$E$1004,Mouvements!$B$5:$B$1004,$A68,Mouvements!$D$5:$D$1004,"Sortie"))</f>
        <v/>
      </c>
      <c r="K68" s="21" t="str">
        <f aca="false">IF($A68="","",N($G68)+$I68-$J68)</f>
        <v/>
      </c>
      <c r="L68" s="21" t="str">
        <f aca="false">IF($A68="","",$K68*N($E68))</f>
        <v/>
      </c>
      <c r="M68" s="22" t="str">
        <f aca="false">IF($A68="","",IF($K68&lt;=0,"Rupture",IF($K68&lt;=N($H68),"À commander","OK")))</f>
        <v/>
      </c>
      <c r="N68" s="23"/>
      <c r="O68" s="23"/>
      <c r="P68" s="21" t="str">
        <f aca="false">IF($A68="","",IF($K68&lt;=N($H68),MAX(0,2*N($H68)-$K68),0))</f>
        <v/>
      </c>
    </row>
    <row r="69" customFormat="false" ht="15" hidden="false" customHeight="false" outlineLevel="0" collapsed="false">
      <c r="A69" s="23"/>
      <c r="B69" s="23"/>
      <c r="C69" s="23"/>
      <c r="D69" s="23"/>
      <c r="E69" s="24"/>
      <c r="F69" s="24"/>
      <c r="G69" s="24"/>
      <c r="H69" s="24"/>
      <c r="I69" s="21" t="str">
        <f aca="false">IF($A69="","",SUMIFS(Mouvements!$E$5:$E$1004,Mouvements!$B$5:$B$1004,$A69,Mouvements!$D$5:$D$1004,"Entrée"))</f>
        <v/>
      </c>
      <c r="J69" s="21" t="str">
        <f aca="false">IF($A69="","",SUMIFS(Mouvements!$E$5:$E$1004,Mouvements!$B$5:$B$1004,$A69,Mouvements!$D$5:$D$1004,"Sortie"))</f>
        <v/>
      </c>
      <c r="K69" s="21" t="str">
        <f aca="false">IF($A69="","",N($G69)+$I69-$J69)</f>
        <v/>
      </c>
      <c r="L69" s="21" t="str">
        <f aca="false">IF($A69="","",$K69*N($E69))</f>
        <v/>
      </c>
      <c r="M69" s="22" t="str">
        <f aca="false">IF($A69="","",IF($K69&lt;=0,"Rupture",IF($K69&lt;=N($H69),"À commander","OK")))</f>
        <v/>
      </c>
      <c r="N69" s="23"/>
      <c r="O69" s="23"/>
      <c r="P69" s="21" t="str">
        <f aca="false">IF($A69="","",IF($K69&lt;=N($H69),MAX(0,2*N($H69)-$K69),0))</f>
        <v/>
      </c>
    </row>
    <row r="70" customFormat="false" ht="15" hidden="false" customHeight="false" outlineLevel="0" collapsed="false">
      <c r="A70" s="23"/>
      <c r="B70" s="23"/>
      <c r="C70" s="23"/>
      <c r="D70" s="23"/>
      <c r="E70" s="24"/>
      <c r="F70" s="24"/>
      <c r="G70" s="24"/>
      <c r="H70" s="24"/>
      <c r="I70" s="21" t="str">
        <f aca="false">IF($A70="","",SUMIFS(Mouvements!$E$5:$E$1004,Mouvements!$B$5:$B$1004,$A70,Mouvements!$D$5:$D$1004,"Entrée"))</f>
        <v/>
      </c>
      <c r="J70" s="21" t="str">
        <f aca="false">IF($A70="","",SUMIFS(Mouvements!$E$5:$E$1004,Mouvements!$B$5:$B$1004,$A70,Mouvements!$D$5:$D$1004,"Sortie"))</f>
        <v/>
      </c>
      <c r="K70" s="21" t="str">
        <f aca="false">IF($A70="","",N($G70)+$I70-$J70)</f>
        <v/>
      </c>
      <c r="L70" s="21" t="str">
        <f aca="false">IF($A70="","",$K70*N($E70))</f>
        <v/>
      </c>
      <c r="M70" s="22" t="str">
        <f aca="false">IF($A70="","",IF($K70&lt;=0,"Rupture",IF($K70&lt;=N($H70),"À commander","OK")))</f>
        <v/>
      </c>
      <c r="N70" s="23"/>
      <c r="O70" s="23"/>
      <c r="P70" s="21" t="str">
        <f aca="false">IF($A70="","",IF($K70&lt;=N($H70),MAX(0,2*N($H70)-$K70),0))</f>
        <v/>
      </c>
    </row>
    <row r="71" customFormat="false" ht="15" hidden="false" customHeight="false" outlineLevel="0" collapsed="false">
      <c r="A71" s="23"/>
      <c r="B71" s="23"/>
      <c r="C71" s="23"/>
      <c r="D71" s="23"/>
      <c r="E71" s="24"/>
      <c r="F71" s="24"/>
      <c r="G71" s="24"/>
      <c r="H71" s="24"/>
      <c r="I71" s="21" t="str">
        <f aca="false">IF($A71="","",SUMIFS(Mouvements!$E$5:$E$1004,Mouvements!$B$5:$B$1004,$A71,Mouvements!$D$5:$D$1004,"Entrée"))</f>
        <v/>
      </c>
      <c r="J71" s="21" t="str">
        <f aca="false">IF($A71="","",SUMIFS(Mouvements!$E$5:$E$1004,Mouvements!$B$5:$B$1004,$A71,Mouvements!$D$5:$D$1004,"Sortie"))</f>
        <v/>
      </c>
      <c r="K71" s="21" t="str">
        <f aca="false">IF($A71="","",N($G71)+$I71-$J71)</f>
        <v/>
      </c>
      <c r="L71" s="21" t="str">
        <f aca="false">IF($A71="","",$K71*N($E71))</f>
        <v/>
      </c>
      <c r="M71" s="22" t="str">
        <f aca="false">IF($A71="","",IF($K71&lt;=0,"Rupture",IF($K71&lt;=N($H71),"À commander","OK")))</f>
        <v/>
      </c>
      <c r="N71" s="23"/>
      <c r="O71" s="23"/>
      <c r="P71" s="21" t="str">
        <f aca="false">IF($A71="","",IF($K71&lt;=N($H71),MAX(0,2*N($H71)-$K71),0))</f>
        <v/>
      </c>
    </row>
    <row r="72" customFormat="false" ht="15" hidden="false" customHeight="false" outlineLevel="0" collapsed="false">
      <c r="A72" s="23"/>
      <c r="B72" s="23"/>
      <c r="C72" s="23"/>
      <c r="D72" s="23"/>
      <c r="E72" s="24"/>
      <c r="F72" s="24"/>
      <c r="G72" s="24"/>
      <c r="H72" s="24"/>
      <c r="I72" s="21" t="str">
        <f aca="false">IF($A72="","",SUMIFS(Mouvements!$E$5:$E$1004,Mouvements!$B$5:$B$1004,$A72,Mouvements!$D$5:$D$1004,"Entrée"))</f>
        <v/>
      </c>
      <c r="J72" s="21" t="str">
        <f aca="false">IF($A72="","",SUMIFS(Mouvements!$E$5:$E$1004,Mouvements!$B$5:$B$1004,$A72,Mouvements!$D$5:$D$1004,"Sortie"))</f>
        <v/>
      </c>
      <c r="K72" s="21" t="str">
        <f aca="false">IF($A72="","",N($G72)+$I72-$J72)</f>
        <v/>
      </c>
      <c r="L72" s="21" t="str">
        <f aca="false">IF($A72="","",$K72*N($E72))</f>
        <v/>
      </c>
      <c r="M72" s="22" t="str">
        <f aca="false">IF($A72="","",IF($K72&lt;=0,"Rupture",IF($K72&lt;=N($H72),"À commander","OK")))</f>
        <v/>
      </c>
      <c r="N72" s="23"/>
      <c r="O72" s="23"/>
      <c r="P72" s="21" t="str">
        <f aca="false">IF($A72="","",IF($K72&lt;=N($H72),MAX(0,2*N($H72)-$K72),0))</f>
        <v/>
      </c>
    </row>
    <row r="73" customFormat="false" ht="15" hidden="false" customHeight="false" outlineLevel="0" collapsed="false">
      <c r="A73" s="23"/>
      <c r="B73" s="23"/>
      <c r="C73" s="23"/>
      <c r="D73" s="23"/>
      <c r="E73" s="24"/>
      <c r="F73" s="24"/>
      <c r="G73" s="24"/>
      <c r="H73" s="24"/>
      <c r="I73" s="21" t="str">
        <f aca="false">IF($A73="","",SUMIFS(Mouvements!$E$5:$E$1004,Mouvements!$B$5:$B$1004,$A73,Mouvements!$D$5:$D$1004,"Entrée"))</f>
        <v/>
      </c>
      <c r="J73" s="21" t="str">
        <f aca="false">IF($A73="","",SUMIFS(Mouvements!$E$5:$E$1004,Mouvements!$B$5:$B$1004,$A73,Mouvements!$D$5:$D$1004,"Sortie"))</f>
        <v/>
      </c>
      <c r="K73" s="21" t="str">
        <f aca="false">IF($A73="","",N($G73)+$I73-$J73)</f>
        <v/>
      </c>
      <c r="L73" s="21" t="str">
        <f aca="false">IF($A73="","",$K73*N($E73))</f>
        <v/>
      </c>
      <c r="M73" s="22" t="str">
        <f aca="false">IF($A73="","",IF($K73&lt;=0,"Rupture",IF($K73&lt;=N($H73),"À commander","OK")))</f>
        <v/>
      </c>
      <c r="N73" s="23"/>
      <c r="O73" s="23"/>
      <c r="P73" s="21" t="str">
        <f aca="false">IF($A73="","",IF($K73&lt;=N($H73),MAX(0,2*N($H73)-$K73),0))</f>
        <v/>
      </c>
    </row>
    <row r="74" customFormat="false" ht="15" hidden="false" customHeight="false" outlineLevel="0" collapsed="false">
      <c r="A74" s="23"/>
      <c r="B74" s="23"/>
      <c r="C74" s="23"/>
      <c r="D74" s="23"/>
      <c r="E74" s="24"/>
      <c r="F74" s="24"/>
      <c r="G74" s="24"/>
      <c r="H74" s="24"/>
      <c r="I74" s="21" t="str">
        <f aca="false">IF($A74="","",SUMIFS(Mouvements!$E$5:$E$1004,Mouvements!$B$5:$B$1004,$A74,Mouvements!$D$5:$D$1004,"Entrée"))</f>
        <v/>
      </c>
      <c r="J74" s="21" t="str">
        <f aca="false">IF($A74="","",SUMIFS(Mouvements!$E$5:$E$1004,Mouvements!$B$5:$B$1004,$A74,Mouvements!$D$5:$D$1004,"Sortie"))</f>
        <v/>
      </c>
      <c r="K74" s="21" t="str">
        <f aca="false">IF($A74="","",N($G74)+$I74-$J74)</f>
        <v/>
      </c>
      <c r="L74" s="21" t="str">
        <f aca="false">IF($A74="","",$K74*N($E74))</f>
        <v/>
      </c>
      <c r="M74" s="22" t="str">
        <f aca="false">IF($A74="","",IF($K74&lt;=0,"Rupture",IF($K74&lt;=N($H74),"À commander","OK")))</f>
        <v/>
      </c>
      <c r="N74" s="23"/>
      <c r="O74" s="23"/>
      <c r="P74" s="21" t="str">
        <f aca="false">IF($A74="","",IF($K74&lt;=N($H74),MAX(0,2*N($H74)-$K74),0))</f>
        <v/>
      </c>
    </row>
    <row r="75" customFormat="false" ht="15" hidden="false" customHeight="false" outlineLevel="0" collapsed="false">
      <c r="A75" s="23"/>
      <c r="B75" s="23"/>
      <c r="C75" s="23"/>
      <c r="D75" s="23"/>
      <c r="E75" s="24"/>
      <c r="F75" s="24"/>
      <c r="G75" s="24"/>
      <c r="H75" s="24"/>
      <c r="I75" s="21" t="str">
        <f aca="false">IF($A75="","",SUMIFS(Mouvements!$E$5:$E$1004,Mouvements!$B$5:$B$1004,$A75,Mouvements!$D$5:$D$1004,"Entrée"))</f>
        <v/>
      </c>
      <c r="J75" s="21" t="str">
        <f aca="false">IF($A75="","",SUMIFS(Mouvements!$E$5:$E$1004,Mouvements!$B$5:$B$1004,$A75,Mouvements!$D$5:$D$1004,"Sortie"))</f>
        <v/>
      </c>
      <c r="K75" s="21" t="str">
        <f aca="false">IF($A75="","",N($G75)+$I75-$J75)</f>
        <v/>
      </c>
      <c r="L75" s="21" t="str">
        <f aca="false">IF($A75="","",$K75*N($E75))</f>
        <v/>
      </c>
      <c r="M75" s="22" t="str">
        <f aca="false">IF($A75="","",IF($K75&lt;=0,"Rupture",IF($K75&lt;=N($H75),"À commander","OK")))</f>
        <v/>
      </c>
      <c r="N75" s="23"/>
      <c r="O75" s="23"/>
      <c r="P75" s="21" t="str">
        <f aca="false">IF($A75="","",IF($K75&lt;=N($H75),MAX(0,2*N($H75)-$K75),0))</f>
        <v/>
      </c>
    </row>
    <row r="76" customFormat="false" ht="15" hidden="false" customHeight="false" outlineLevel="0" collapsed="false">
      <c r="A76" s="23"/>
      <c r="B76" s="23"/>
      <c r="C76" s="23"/>
      <c r="D76" s="23"/>
      <c r="E76" s="24"/>
      <c r="F76" s="24"/>
      <c r="G76" s="24"/>
      <c r="H76" s="24"/>
      <c r="I76" s="21" t="str">
        <f aca="false">IF($A76="","",SUMIFS(Mouvements!$E$5:$E$1004,Mouvements!$B$5:$B$1004,$A76,Mouvements!$D$5:$D$1004,"Entrée"))</f>
        <v/>
      </c>
      <c r="J76" s="21" t="str">
        <f aca="false">IF($A76="","",SUMIFS(Mouvements!$E$5:$E$1004,Mouvements!$B$5:$B$1004,$A76,Mouvements!$D$5:$D$1004,"Sortie"))</f>
        <v/>
      </c>
      <c r="K76" s="21" t="str">
        <f aca="false">IF($A76="","",N($G76)+$I76-$J76)</f>
        <v/>
      </c>
      <c r="L76" s="21" t="str">
        <f aca="false">IF($A76="","",$K76*N($E76))</f>
        <v/>
      </c>
      <c r="M76" s="22" t="str">
        <f aca="false">IF($A76="","",IF($K76&lt;=0,"Rupture",IF($K76&lt;=N($H76),"À commander","OK")))</f>
        <v/>
      </c>
      <c r="N76" s="23"/>
      <c r="O76" s="23"/>
      <c r="P76" s="21" t="str">
        <f aca="false">IF($A76="","",IF($K76&lt;=N($H76),MAX(0,2*N($H76)-$K76),0))</f>
        <v/>
      </c>
    </row>
    <row r="77" customFormat="false" ht="15" hidden="false" customHeight="false" outlineLevel="0" collapsed="false">
      <c r="A77" s="23"/>
      <c r="B77" s="23"/>
      <c r="C77" s="23"/>
      <c r="D77" s="23"/>
      <c r="E77" s="24"/>
      <c r="F77" s="24"/>
      <c r="G77" s="24"/>
      <c r="H77" s="24"/>
      <c r="I77" s="21" t="str">
        <f aca="false">IF($A77="","",SUMIFS(Mouvements!$E$5:$E$1004,Mouvements!$B$5:$B$1004,$A77,Mouvements!$D$5:$D$1004,"Entrée"))</f>
        <v/>
      </c>
      <c r="J77" s="21" t="str">
        <f aca="false">IF($A77="","",SUMIFS(Mouvements!$E$5:$E$1004,Mouvements!$B$5:$B$1004,$A77,Mouvements!$D$5:$D$1004,"Sortie"))</f>
        <v/>
      </c>
      <c r="K77" s="21" t="str">
        <f aca="false">IF($A77="","",N($G77)+$I77-$J77)</f>
        <v/>
      </c>
      <c r="L77" s="21" t="str">
        <f aca="false">IF($A77="","",$K77*N($E77))</f>
        <v/>
      </c>
      <c r="M77" s="22" t="str">
        <f aca="false">IF($A77="","",IF($K77&lt;=0,"Rupture",IF($K77&lt;=N($H77),"À commander","OK")))</f>
        <v/>
      </c>
      <c r="N77" s="23"/>
      <c r="O77" s="23"/>
      <c r="P77" s="21" t="str">
        <f aca="false">IF($A77="","",IF($K77&lt;=N($H77),MAX(0,2*N($H77)-$K77),0))</f>
        <v/>
      </c>
    </row>
    <row r="78" customFormat="false" ht="15" hidden="false" customHeight="false" outlineLevel="0" collapsed="false">
      <c r="A78" s="23"/>
      <c r="B78" s="23"/>
      <c r="C78" s="23"/>
      <c r="D78" s="23"/>
      <c r="E78" s="24"/>
      <c r="F78" s="24"/>
      <c r="G78" s="24"/>
      <c r="H78" s="24"/>
      <c r="I78" s="21" t="str">
        <f aca="false">IF($A78="","",SUMIFS(Mouvements!$E$5:$E$1004,Mouvements!$B$5:$B$1004,$A78,Mouvements!$D$5:$D$1004,"Entrée"))</f>
        <v/>
      </c>
      <c r="J78" s="21" t="str">
        <f aca="false">IF($A78="","",SUMIFS(Mouvements!$E$5:$E$1004,Mouvements!$B$5:$B$1004,$A78,Mouvements!$D$5:$D$1004,"Sortie"))</f>
        <v/>
      </c>
      <c r="K78" s="21" t="str">
        <f aca="false">IF($A78="","",N($G78)+$I78-$J78)</f>
        <v/>
      </c>
      <c r="L78" s="21" t="str">
        <f aca="false">IF($A78="","",$K78*N($E78))</f>
        <v/>
      </c>
      <c r="M78" s="22" t="str">
        <f aca="false">IF($A78="","",IF($K78&lt;=0,"Rupture",IF($K78&lt;=N($H78),"À commander","OK")))</f>
        <v/>
      </c>
      <c r="N78" s="23"/>
      <c r="O78" s="23"/>
      <c r="P78" s="21" t="str">
        <f aca="false">IF($A78="","",IF($K78&lt;=N($H78),MAX(0,2*N($H78)-$K78),0))</f>
        <v/>
      </c>
    </row>
    <row r="79" customFormat="false" ht="15" hidden="false" customHeight="false" outlineLevel="0" collapsed="false">
      <c r="A79" s="23"/>
      <c r="B79" s="23"/>
      <c r="C79" s="23"/>
      <c r="D79" s="23"/>
      <c r="E79" s="24"/>
      <c r="F79" s="24"/>
      <c r="G79" s="24"/>
      <c r="H79" s="24"/>
      <c r="I79" s="21" t="str">
        <f aca="false">IF($A79="","",SUMIFS(Mouvements!$E$5:$E$1004,Mouvements!$B$5:$B$1004,$A79,Mouvements!$D$5:$D$1004,"Entrée"))</f>
        <v/>
      </c>
      <c r="J79" s="21" t="str">
        <f aca="false">IF($A79="","",SUMIFS(Mouvements!$E$5:$E$1004,Mouvements!$B$5:$B$1004,$A79,Mouvements!$D$5:$D$1004,"Sortie"))</f>
        <v/>
      </c>
      <c r="K79" s="21" t="str">
        <f aca="false">IF($A79="","",N($G79)+$I79-$J79)</f>
        <v/>
      </c>
      <c r="L79" s="21" t="str">
        <f aca="false">IF($A79="","",$K79*N($E79))</f>
        <v/>
      </c>
      <c r="M79" s="22" t="str">
        <f aca="false">IF($A79="","",IF($K79&lt;=0,"Rupture",IF($K79&lt;=N($H79),"À commander","OK")))</f>
        <v/>
      </c>
      <c r="N79" s="23"/>
      <c r="O79" s="23"/>
      <c r="P79" s="21" t="str">
        <f aca="false">IF($A79="","",IF($K79&lt;=N($H79),MAX(0,2*N($H79)-$K79),0))</f>
        <v/>
      </c>
    </row>
    <row r="80" customFormat="false" ht="15" hidden="false" customHeight="false" outlineLevel="0" collapsed="false">
      <c r="A80" s="23"/>
      <c r="B80" s="23"/>
      <c r="C80" s="23"/>
      <c r="D80" s="23"/>
      <c r="E80" s="24"/>
      <c r="F80" s="24"/>
      <c r="G80" s="24"/>
      <c r="H80" s="24"/>
      <c r="I80" s="21" t="str">
        <f aca="false">IF($A80="","",SUMIFS(Mouvements!$E$5:$E$1004,Mouvements!$B$5:$B$1004,$A80,Mouvements!$D$5:$D$1004,"Entrée"))</f>
        <v/>
      </c>
      <c r="J80" s="21" t="str">
        <f aca="false">IF($A80="","",SUMIFS(Mouvements!$E$5:$E$1004,Mouvements!$B$5:$B$1004,$A80,Mouvements!$D$5:$D$1004,"Sortie"))</f>
        <v/>
      </c>
      <c r="K80" s="21" t="str">
        <f aca="false">IF($A80="","",N($G80)+$I80-$J80)</f>
        <v/>
      </c>
      <c r="L80" s="21" t="str">
        <f aca="false">IF($A80="","",$K80*N($E80))</f>
        <v/>
      </c>
      <c r="M80" s="22" t="str">
        <f aca="false">IF($A80="","",IF($K80&lt;=0,"Rupture",IF($K80&lt;=N($H80),"À commander","OK")))</f>
        <v/>
      </c>
      <c r="N80" s="23"/>
      <c r="O80" s="23"/>
      <c r="P80" s="21" t="str">
        <f aca="false">IF($A80="","",IF($K80&lt;=N($H80),MAX(0,2*N($H80)-$K80),0))</f>
        <v/>
      </c>
    </row>
    <row r="81" customFormat="false" ht="15" hidden="false" customHeight="false" outlineLevel="0" collapsed="false">
      <c r="A81" s="23"/>
      <c r="B81" s="23"/>
      <c r="C81" s="23"/>
      <c r="D81" s="23"/>
      <c r="E81" s="24"/>
      <c r="F81" s="24"/>
      <c r="G81" s="24"/>
      <c r="H81" s="24"/>
      <c r="I81" s="21" t="str">
        <f aca="false">IF($A81="","",SUMIFS(Mouvements!$E$5:$E$1004,Mouvements!$B$5:$B$1004,$A81,Mouvements!$D$5:$D$1004,"Entrée"))</f>
        <v/>
      </c>
      <c r="J81" s="21" t="str">
        <f aca="false">IF($A81="","",SUMIFS(Mouvements!$E$5:$E$1004,Mouvements!$B$5:$B$1004,$A81,Mouvements!$D$5:$D$1004,"Sortie"))</f>
        <v/>
      </c>
      <c r="K81" s="21" t="str">
        <f aca="false">IF($A81="","",N($G81)+$I81-$J81)</f>
        <v/>
      </c>
      <c r="L81" s="21" t="str">
        <f aca="false">IF($A81="","",$K81*N($E81))</f>
        <v/>
      </c>
      <c r="M81" s="22" t="str">
        <f aca="false">IF($A81="","",IF($K81&lt;=0,"Rupture",IF($K81&lt;=N($H81),"À commander","OK")))</f>
        <v/>
      </c>
      <c r="N81" s="23"/>
      <c r="O81" s="23"/>
      <c r="P81" s="21" t="str">
        <f aca="false">IF($A81="","",IF($K81&lt;=N($H81),MAX(0,2*N($H81)-$K81),0))</f>
        <v/>
      </c>
    </row>
    <row r="82" customFormat="false" ht="15" hidden="false" customHeight="false" outlineLevel="0" collapsed="false">
      <c r="A82" s="23"/>
      <c r="B82" s="23"/>
      <c r="C82" s="23"/>
      <c r="D82" s="23"/>
      <c r="E82" s="24"/>
      <c r="F82" s="24"/>
      <c r="G82" s="24"/>
      <c r="H82" s="24"/>
      <c r="I82" s="21" t="str">
        <f aca="false">IF($A82="","",SUMIFS(Mouvements!$E$5:$E$1004,Mouvements!$B$5:$B$1004,$A82,Mouvements!$D$5:$D$1004,"Entrée"))</f>
        <v/>
      </c>
      <c r="J82" s="21" t="str">
        <f aca="false">IF($A82="","",SUMIFS(Mouvements!$E$5:$E$1004,Mouvements!$B$5:$B$1004,$A82,Mouvements!$D$5:$D$1004,"Sortie"))</f>
        <v/>
      </c>
      <c r="K82" s="21" t="str">
        <f aca="false">IF($A82="","",N($G82)+$I82-$J82)</f>
        <v/>
      </c>
      <c r="L82" s="21" t="str">
        <f aca="false">IF($A82="","",$K82*N($E82))</f>
        <v/>
      </c>
      <c r="M82" s="22" t="str">
        <f aca="false">IF($A82="","",IF($K82&lt;=0,"Rupture",IF($K82&lt;=N($H82),"À commander","OK")))</f>
        <v/>
      </c>
      <c r="N82" s="23"/>
      <c r="O82" s="23"/>
      <c r="P82" s="21" t="str">
        <f aca="false">IF($A82="","",IF($K82&lt;=N($H82),MAX(0,2*N($H82)-$K82),0))</f>
        <v/>
      </c>
    </row>
    <row r="83" customFormat="false" ht="15" hidden="false" customHeight="false" outlineLevel="0" collapsed="false">
      <c r="A83" s="23"/>
      <c r="B83" s="23"/>
      <c r="C83" s="23"/>
      <c r="D83" s="23"/>
      <c r="E83" s="24"/>
      <c r="F83" s="24"/>
      <c r="G83" s="24"/>
      <c r="H83" s="24"/>
      <c r="I83" s="21" t="str">
        <f aca="false">IF($A83="","",SUMIFS(Mouvements!$E$5:$E$1004,Mouvements!$B$5:$B$1004,$A83,Mouvements!$D$5:$D$1004,"Entrée"))</f>
        <v/>
      </c>
      <c r="J83" s="21" t="str">
        <f aca="false">IF($A83="","",SUMIFS(Mouvements!$E$5:$E$1004,Mouvements!$B$5:$B$1004,$A83,Mouvements!$D$5:$D$1004,"Sortie"))</f>
        <v/>
      </c>
      <c r="K83" s="21" t="str">
        <f aca="false">IF($A83="","",N($G83)+$I83-$J83)</f>
        <v/>
      </c>
      <c r="L83" s="21" t="str">
        <f aca="false">IF($A83="","",$K83*N($E83))</f>
        <v/>
      </c>
      <c r="M83" s="22" t="str">
        <f aca="false">IF($A83="","",IF($K83&lt;=0,"Rupture",IF($K83&lt;=N($H83),"À commander","OK")))</f>
        <v/>
      </c>
      <c r="N83" s="23"/>
      <c r="O83" s="23"/>
      <c r="P83" s="21" t="str">
        <f aca="false">IF($A83="","",IF($K83&lt;=N($H83),MAX(0,2*N($H83)-$K83),0))</f>
        <v/>
      </c>
    </row>
    <row r="84" customFormat="false" ht="15" hidden="false" customHeight="false" outlineLevel="0" collapsed="false">
      <c r="A84" s="23"/>
      <c r="B84" s="23"/>
      <c r="C84" s="23"/>
      <c r="D84" s="23"/>
      <c r="E84" s="24"/>
      <c r="F84" s="24"/>
      <c r="G84" s="24"/>
      <c r="H84" s="24"/>
      <c r="I84" s="21" t="str">
        <f aca="false">IF($A84="","",SUMIFS(Mouvements!$E$5:$E$1004,Mouvements!$B$5:$B$1004,$A84,Mouvements!$D$5:$D$1004,"Entrée"))</f>
        <v/>
      </c>
      <c r="J84" s="21" t="str">
        <f aca="false">IF($A84="","",SUMIFS(Mouvements!$E$5:$E$1004,Mouvements!$B$5:$B$1004,$A84,Mouvements!$D$5:$D$1004,"Sortie"))</f>
        <v/>
      </c>
      <c r="K84" s="21" t="str">
        <f aca="false">IF($A84="","",N($G84)+$I84-$J84)</f>
        <v/>
      </c>
      <c r="L84" s="21" t="str">
        <f aca="false">IF($A84="","",$K84*N($E84))</f>
        <v/>
      </c>
      <c r="M84" s="22" t="str">
        <f aca="false">IF($A84="","",IF($K84&lt;=0,"Rupture",IF($K84&lt;=N($H84),"À commander","OK")))</f>
        <v/>
      </c>
      <c r="N84" s="23"/>
      <c r="O84" s="23"/>
      <c r="P84" s="21" t="str">
        <f aca="false">IF($A84="","",IF($K84&lt;=N($H84),MAX(0,2*N($H84)-$K84),0))</f>
        <v/>
      </c>
    </row>
    <row r="85" customFormat="false" ht="15" hidden="false" customHeight="false" outlineLevel="0" collapsed="false">
      <c r="A85" s="23"/>
      <c r="B85" s="23"/>
      <c r="C85" s="23"/>
      <c r="D85" s="23"/>
      <c r="E85" s="24"/>
      <c r="F85" s="24"/>
      <c r="G85" s="24"/>
      <c r="H85" s="24"/>
      <c r="I85" s="21" t="str">
        <f aca="false">IF($A85="","",SUMIFS(Mouvements!$E$5:$E$1004,Mouvements!$B$5:$B$1004,$A85,Mouvements!$D$5:$D$1004,"Entrée"))</f>
        <v/>
      </c>
      <c r="J85" s="21" t="str">
        <f aca="false">IF($A85="","",SUMIFS(Mouvements!$E$5:$E$1004,Mouvements!$B$5:$B$1004,$A85,Mouvements!$D$5:$D$1004,"Sortie"))</f>
        <v/>
      </c>
      <c r="K85" s="21" t="str">
        <f aca="false">IF($A85="","",N($G85)+$I85-$J85)</f>
        <v/>
      </c>
      <c r="L85" s="21" t="str">
        <f aca="false">IF($A85="","",$K85*N($E85))</f>
        <v/>
      </c>
      <c r="M85" s="22" t="str">
        <f aca="false">IF($A85="","",IF($K85&lt;=0,"Rupture",IF($K85&lt;=N($H85),"À commander","OK")))</f>
        <v/>
      </c>
      <c r="N85" s="23"/>
      <c r="O85" s="23"/>
      <c r="P85" s="21" t="str">
        <f aca="false">IF($A85="","",IF($K85&lt;=N($H85),MAX(0,2*N($H85)-$K85),0))</f>
        <v/>
      </c>
    </row>
    <row r="86" customFormat="false" ht="15" hidden="false" customHeight="false" outlineLevel="0" collapsed="false">
      <c r="A86" s="23"/>
      <c r="B86" s="23"/>
      <c r="C86" s="23"/>
      <c r="D86" s="23"/>
      <c r="E86" s="24"/>
      <c r="F86" s="24"/>
      <c r="G86" s="24"/>
      <c r="H86" s="24"/>
      <c r="I86" s="21" t="str">
        <f aca="false">IF($A86="","",SUMIFS(Mouvements!$E$5:$E$1004,Mouvements!$B$5:$B$1004,$A86,Mouvements!$D$5:$D$1004,"Entrée"))</f>
        <v/>
      </c>
      <c r="J86" s="21" t="str">
        <f aca="false">IF($A86="","",SUMIFS(Mouvements!$E$5:$E$1004,Mouvements!$B$5:$B$1004,$A86,Mouvements!$D$5:$D$1004,"Sortie"))</f>
        <v/>
      </c>
      <c r="K86" s="21" t="str">
        <f aca="false">IF($A86="","",N($G86)+$I86-$J86)</f>
        <v/>
      </c>
      <c r="L86" s="21" t="str">
        <f aca="false">IF($A86="","",$K86*N($E86))</f>
        <v/>
      </c>
      <c r="M86" s="22" t="str">
        <f aca="false">IF($A86="","",IF($K86&lt;=0,"Rupture",IF($K86&lt;=N($H86),"À commander","OK")))</f>
        <v/>
      </c>
      <c r="N86" s="23"/>
      <c r="O86" s="23"/>
      <c r="P86" s="21" t="str">
        <f aca="false">IF($A86="","",IF($K86&lt;=N($H86),MAX(0,2*N($H86)-$K86),0))</f>
        <v/>
      </c>
    </row>
    <row r="87" customFormat="false" ht="15" hidden="false" customHeight="false" outlineLevel="0" collapsed="false">
      <c r="A87" s="23"/>
      <c r="B87" s="23"/>
      <c r="C87" s="23"/>
      <c r="D87" s="23"/>
      <c r="E87" s="24"/>
      <c r="F87" s="24"/>
      <c r="G87" s="24"/>
      <c r="H87" s="24"/>
      <c r="I87" s="21" t="str">
        <f aca="false">IF($A87="","",SUMIFS(Mouvements!$E$5:$E$1004,Mouvements!$B$5:$B$1004,$A87,Mouvements!$D$5:$D$1004,"Entrée"))</f>
        <v/>
      </c>
      <c r="J87" s="21" t="str">
        <f aca="false">IF($A87="","",SUMIFS(Mouvements!$E$5:$E$1004,Mouvements!$B$5:$B$1004,$A87,Mouvements!$D$5:$D$1004,"Sortie"))</f>
        <v/>
      </c>
      <c r="K87" s="21" t="str">
        <f aca="false">IF($A87="","",N($G87)+$I87-$J87)</f>
        <v/>
      </c>
      <c r="L87" s="21" t="str">
        <f aca="false">IF($A87="","",$K87*N($E87))</f>
        <v/>
      </c>
      <c r="M87" s="22" t="str">
        <f aca="false">IF($A87="","",IF($K87&lt;=0,"Rupture",IF($K87&lt;=N($H87),"À commander","OK")))</f>
        <v/>
      </c>
      <c r="N87" s="23"/>
      <c r="O87" s="23"/>
      <c r="P87" s="21" t="str">
        <f aca="false">IF($A87="","",IF($K87&lt;=N($H87),MAX(0,2*N($H87)-$K87),0))</f>
        <v/>
      </c>
    </row>
    <row r="88" customFormat="false" ht="15" hidden="false" customHeight="false" outlineLevel="0" collapsed="false">
      <c r="A88" s="23"/>
      <c r="B88" s="23"/>
      <c r="C88" s="23"/>
      <c r="D88" s="23"/>
      <c r="E88" s="24"/>
      <c r="F88" s="24"/>
      <c r="G88" s="24"/>
      <c r="H88" s="24"/>
      <c r="I88" s="21" t="str">
        <f aca="false">IF($A88="","",SUMIFS(Mouvements!$E$5:$E$1004,Mouvements!$B$5:$B$1004,$A88,Mouvements!$D$5:$D$1004,"Entrée"))</f>
        <v/>
      </c>
      <c r="J88" s="21" t="str">
        <f aca="false">IF($A88="","",SUMIFS(Mouvements!$E$5:$E$1004,Mouvements!$B$5:$B$1004,$A88,Mouvements!$D$5:$D$1004,"Sortie"))</f>
        <v/>
      </c>
      <c r="K88" s="21" t="str">
        <f aca="false">IF($A88="","",N($G88)+$I88-$J88)</f>
        <v/>
      </c>
      <c r="L88" s="21" t="str">
        <f aca="false">IF($A88="","",$K88*N($E88))</f>
        <v/>
      </c>
      <c r="M88" s="22" t="str">
        <f aca="false">IF($A88="","",IF($K88&lt;=0,"Rupture",IF($K88&lt;=N($H88),"À commander","OK")))</f>
        <v/>
      </c>
      <c r="N88" s="23"/>
      <c r="O88" s="23"/>
      <c r="P88" s="21" t="str">
        <f aca="false">IF($A88="","",IF($K88&lt;=N($H88),MAX(0,2*N($H88)-$K88),0))</f>
        <v/>
      </c>
    </row>
    <row r="89" customFormat="false" ht="15" hidden="false" customHeight="false" outlineLevel="0" collapsed="false">
      <c r="A89" s="23"/>
      <c r="B89" s="23"/>
      <c r="C89" s="23"/>
      <c r="D89" s="23"/>
      <c r="E89" s="24"/>
      <c r="F89" s="24"/>
      <c r="G89" s="24"/>
      <c r="H89" s="24"/>
      <c r="I89" s="21" t="str">
        <f aca="false">IF($A89="","",SUMIFS(Mouvements!$E$5:$E$1004,Mouvements!$B$5:$B$1004,$A89,Mouvements!$D$5:$D$1004,"Entrée"))</f>
        <v/>
      </c>
      <c r="J89" s="21" t="str">
        <f aca="false">IF($A89="","",SUMIFS(Mouvements!$E$5:$E$1004,Mouvements!$B$5:$B$1004,$A89,Mouvements!$D$5:$D$1004,"Sortie"))</f>
        <v/>
      </c>
      <c r="K89" s="21" t="str">
        <f aca="false">IF($A89="","",N($G89)+$I89-$J89)</f>
        <v/>
      </c>
      <c r="L89" s="21" t="str">
        <f aca="false">IF($A89="","",$K89*N($E89))</f>
        <v/>
      </c>
      <c r="M89" s="22" t="str">
        <f aca="false">IF($A89="","",IF($K89&lt;=0,"Rupture",IF($K89&lt;=N($H89),"À commander","OK")))</f>
        <v/>
      </c>
      <c r="N89" s="23"/>
      <c r="O89" s="23"/>
      <c r="P89" s="21" t="str">
        <f aca="false">IF($A89="","",IF($K89&lt;=N($H89),MAX(0,2*N($H89)-$K89),0))</f>
        <v/>
      </c>
    </row>
    <row r="90" customFormat="false" ht="15" hidden="false" customHeight="false" outlineLevel="0" collapsed="false">
      <c r="A90" s="23"/>
      <c r="B90" s="23"/>
      <c r="C90" s="23"/>
      <c r="D90" s="23"/>
      <c r="E90" s="24"/>
      <c r="F90" s="24"/>
      <c r="G90" s="24"/>
      <c r="H90" s="24"/>
      <c r="I90" s="21" t="str">
        <f aca="false">IF($A90="","",SUMIFS(Mouvements!$E$5:$E$1004,Mouvements!$B$5:$B$1004,$A90,Mouvements!$D$5:$D$1004,"Entrée"))</f>
        <v/>
      </c>
      <c r="J90" s="21" t="str">
        <f aca="false">IF($A90="","",SUMIFS(Mouvements!$E$5:$E$1004,Mouvements!$B$5:$B$1004,$A90,Mouvements!$D$5:$D$1004,"Sortie"))</f>
        <v/>
      </c>
      <c r="K90" s="21" t="str">
        <f aca="false">IF($A90="","",N($G90)+$I90-$J90)</f>
        <v/>
      </c>
      <c r="L90" s="21" t="str">
        <f aca="false">IF($A90="","",$K90*N($E90))</f>
        <v/>
      </c>
      <c r="M90" s="22" t="str">
        <f aca="false">IF($A90="","",IF($K90&lt;=0,"Rupture",IF($K90&lt;=N($H90),"À commander","OK")))</f>
        <v/>
      </c>
      <c r="N90" s="23"/>
      <c r="O90" s="23"/>
      <c r="P90" s="21" t="str">
        <f aca="false">IF($A90="","",IF($K90&lt;=N($H90),MAX(0,2*N($H90)-$K90),0))</f>
        <v/>
      </c>
    </row>
    <row r="91" customFormat="false" ht="15" hidden="false" customHeight="false" outlineLevel="0" collapsed="false">
      <c r="A91" s="23"/>
      <c r="B91" s="23"/>
      <c r="C91" s="23"/>
      <c r="D91" s="23"/>
      <c r="E91" s="24"/>
      <c r="F91" s="24"/>
      <c r="G91" s="24"/>
      <c r="H91" s="24"/>
      <c r="I91" s="21" t="str">
        <f aca="false">IF($A91="","",SUMIFS(Mouvements!$E$5:$E$1004,Mouvements!$B$5:$B$1004,$A91,Mouvements!$D$5:$D$1004,"Entrée"))</f>
        <v/>
      </c>
      <c r="J91" s="21" t="str">
        <f aca="false">IF($A91="","",SUMIFS(Mouvements!$E$5:$E$1004,Mouvements!$B$5:$B$1004,$A91,Mouvements!$D$5:$D$1004,"Sortie"))</f>
        <v/>
      </c>
      <c r="K91" s="21" t="str">
        <f aca="false">IF($A91="","",N($G91)+$I91-$J91)</f>
        <v/>
      </c>
      <c r="L91" s="21" t="str">
        <f aca="false">IF($A91="","",$K91*N($E91))</f>
        <v/>
      </c>
      <c r="M91" s="22" t="str">
        <f aca="false">IF($A91="","",IF($K91&lt;=0,"Rupture",IF($K91&lt;=N($H91),"À commander","OK")))</f>
        <v/>
      </c>
      <c r="N91" s="23"/>
      <c r="O91" s="23"/>
      <c r="P91" s="21" t="str">
        <f aca="false">IF($A91="","",IF($K91&lt;=N($H91),MAX(0,2*N($H91)-$K91),0))</f>
        <v/>
      </c>
    </row>
    <row r="92" customFormat="false" ht="15" hidden="false" customHeight="false" outlineLevel="0" collapsed="false">
      <c r="A92" s="23"/>
      <c r="B92" s="23"/>
      <c r="C92" s="23"/>
      <c r="D92" s="23"/>
      <c r="E92" s="24"/>
      <c r="F92" s="24"/>
      <c r="G92" s="24"/>
      <c r="H92" s="24"/>
      <c r="I92" s="21" t="str">
        <f aca="false">IF($A92="","",SUMIFS(Mouvements!$E$5:$E$1004,Mouvements!$B$5:$B$1004,$A92,Mouvements!$D$5:$D$1004,"Entrée"))</f>
        <v/>
      </c>
      <c r="J92" s="21" t="str">
        <f aca="false">IF($A92="","",SUMIFS(Mouvements!$E$5:$E$1004,Mouvements!$B$5:$B$1004,$A92,Mouvements!$D$5:$D$1004,"Sortie"))</f>
        <v/>
      </c>
      <c r="K92" s="21" t="str">
        <f aca="false">IF($A92="","",N($G92)+$I92-$J92)</f>
        <v/>
      </c>
      <c r="L92" s="21" t="str">
        <f aca="false">IF($A92="","",$K92*N($E92))</f>
        <v/>
      </c>
      <c r="M92" s="22" t="str">
        <f aca="false">IF($A92="","",IF($K92&lt;=0,"Rupture",IF($K92&lt;=N($H92),"À commander","OK")))</f>
        <v/>
      </c>
      <c r="N92" s="23"/>
      <c r="O92" s="23"/>
      <c r="P92" s="21" t="str">
        <f aca="false">IF($A92="","",IF($K92&lt;=N($H92),MAX(0,2*N($H92)-$K92),0))</f>
        <v/>
      </c>
    </row>
    <row r="93" customFormat="false" ht="15" hidden="false" customHeight="false" outlineLevel="0" collapsed="false">
      <c r="A93" s="23"/>
      <c r="B93" s="23"/>
      <c r="C93" s="23"/>
      <c r="D93" s="23"/>
      <c r="E93" s="24"/>
      <c r="F93" s="24"/>
      <c r="G93" s="24"/>
      <c r="H93" s="24"/>
      <c r="I93" s="21" t="str">
        <f aca="false">IF($A93="","",SUMIFS(Mouvements!$E$5:$E$1004,Mouvements!$B$5:$B$1004,$A93,Mouvements!$D$5:$D$1004,"Entrée"))</f>
        <v/>
      </c>
      <c r="J93" s="21" t="str">
        <f aca="false">IF($A93="","",SUMIFS(Mouvements!$E$5:$E$1004,Mouvements!$B$5:$B$1004,$A93,Mouvements!$D$5:$D$1004,"Sortie"))</f>
        <v/>
      </c>
      <c r="K93" s="21" t="str">
        <f aca="false">IF($A93="","",N($G93)+$I93-$J93)</f>
        <v/>
      </c>
      <c r="L93" s="21" t="str">
        <f aca="false">IF($A93="","",$K93*N($E93))</f>
        <v/>
      </c>
      <c r="M93" s="22" t="str">
        <f aca="false">IF($A93="","",IF($K93&lt;=0,"Rupture",IF($K93&lt;=N($H93),"À commander","OK")))</f>
        <v/>
      </c>
      <c r="N93" s="23"/>
      <c r="O93" s="23"/>
      <c r="P93" s="21" t="str">
        <f aca="false">IF($A93="","",IF($K93&lt;=N($H93),MAX(0,2*N($H93)-$K93),0))</f>
        <v/>
      </c>
    </row>
    <row r="94" customFormat="false" ht="15" hidden="false" customHeight="false" outlineLevel="0" collapsed="false">
      <c r="A94" s="23"/>
      <c r="B94" s="23"/>
      <c r="C94" s="23"/>
      <c r="D94" s="23"/>
      <c r="E94" s="24"/>
      <c r="F94" s="24"/>
      <c r="G94" s="24"/>
      <c r="H94" s="24"/>
      <c r="I94" s="21" t="str">
        <f aca="false">IF($A94="","",SUMIFS(Mouvements!$E$5:$E$1004,Mouvements!$B$5:$B$1004,$A94,Mouvements!$D$5:$D$1004,"Entrée"))</f>
        <v/>
      </c>
      <c r="J94" s="21" t="str">
        <f aca="false">IF($A94="","",SUMIFS(Mouvements!$E$5:$E$1004,Mouvements!$B$5:$B$1004,$A94,Mouvements!$D$5:$D$1004,"Sortie"))</f>
        <v/>
      </c>
      <c r="K94" s="21" t="str">
        <f aca="false">IF($A94="","",N($G94)+$I94-$J94)</f>
        <v/>
      </c>
      <c r="L94" s="21" t="str">
        <f aca="false">IF($A94="","",$K94*N($E94))</f>
        <v/>
      </c>
      <c r="M94" s="22" t="str">
        <f aca="false">IF($A94="","",IF($K94&lt;=0,"Rupture",IF($K94&lt;=N($H94),"À commander","OK")))</f>
        <v/>
      </c>
      <c r="N94" s="23"/>
      <c r="O94" s="23"/>
      <c r="P94" s="21" t="str">
        <f aca="false">IF($A94="","",IF($K94&lt;=N($H94),MAX(0,2*N($H94)-$K94),0))</f>
        <v/>
      </c>
    </row>
    <row r="95" customFormat="false" ht="15" hidden="false" customHeight="false" outlineLevel="0" collapsed="false">
      <c r="A95" s="23"/>
      <c r="B95" s="23"/>
      <c r="C95" s="23"/>
      <c r="D95" s="23"/>
      <c r="E95" s="24"/>
      <c r="F95" s="24"/>
      <c r="G95" s="24"/>
      <c r="H95" s="24"/>
      <c r="I95" s="21" t="str">
        <f aca="false">IF($A95="","",SUMIFS(Mouvements!$E$5:$E$1004,Mouvements!$B$5:$B$1004,$A95,Mouvements!$D$5:$D$1004,"Entrée"))</f>
        <v/>
      </c>
      <c r="J95" s="21" t="str">
        <f aca="false">IF($A95="","",SUMIFS(Mouvements!$E$5:$E$1004,Mouvements!$B$5:$B$1004,$A95,Mouvements!$D$5:$D$1004,"Sortie"))</f>
        <v/>
      </c>
      <c r="K95" s="21" t="str">
        <f aca="false">IF($A95="","",N($G95)+$I95-$J95)</f>
        <v/>
      </c>
      <c r="L95" s="21" t="str">
        <f aca="false">IF($A95="","",$K95*N($E95))</f>
        <v/>
      </c>
      <c r="M95" s="22" t="str">
        <f aca="false">IF($A95="","",IF($K95&lt;=0,"Rupture",IF($K95&lt;=N($H95),"À commander","OK")))</f>
        <v/>
      </c>
      <c r="N95" s="23"/>
      <c r="O95" s="23"/>
      <c r="P95" s="21" t="str">
        <f aca="false">IF($A95="","",IF($K95&lt;=N($H95),MAX(0,2*N($H95)-$K95),0))</f>
        <v/>
      </c>
    </row>
    <row r="96" customFormat="false" ht="15" hidden="false" customHeight="false" outlineLevel="0" collapsed="false">
      <c r="A96" s="23"/>
      <c r="B96" s="23"/>
      <c r="C96" s="23"/>
      <c r="D96" s="23"/>
      <c r="E96" s="24"/>
      <c r="F96" s="24"/>
      <c r="G96" s="24"/>
      <c r="H96" s="24"/>
      <c r="I96" s="21" t="str">
        <f aca="false">IF($A96="","",SUMIFS(Mouvements!$E$5:$E$1004,Mouvements!$B$5:$B$1004,$A96,Mouvements!$D$5:$D$1004,"Entrée"))</f>
        <v/>
      </c>
      <c r="J96" s="21" t="str">
        <f aca="false">IF($A96="","",SUMIFS(Mouvements!$E$5:$E$1004,Mouvements!$B$5:$B$1004,$A96,Mouvements!$D$5:$D$1004,"Sortie"))</f>
        <v/>
      </c>
      <c r="K96" s="21" t="str">
        <f aca="false">IF($A96="","",N($G96)+$I96-$J96)</f>
        <v/>
      </c>
      <c r="L96" s="21" t="str">
        <f aca="false">IF($A96="","",$K96*N($E96))</f>
        <v/>
      </c>
      <c r="M96" s="22" t="str">
        <f aca="false">IF($A96="","",IF($K96&lt;=0,"Rupture",IF($K96&lt;=N($H96),"À commander","OK")))</f>
        <v/>
      </c>
      <c r="N96" s="23"/>
      <c r="O96" s="23"/>
      <c r="P96" s="21" t="str">
        <f aca="false">IF($A96="","",IF($K96&lt;=N($H96),MAX(0,2*N($H96)-$K96),0))</f>
        <v/>
      </c>
    </row>
    <row r="97" customFormat="false" ht="15" hidden="false" customHeight="false" outlineLevel="0" collapsed="false">
      <c r="A97" s="23"/>
      <c r="B97" s="23"/>
      <c r="C97" s="23"/>
      <c r="D97" s="23"/>
      <c r="E97" s="24"/>
      <c r="F97" s="24"/>
      <c r="G97" s="24"/>
      <c r="H97" s="24"/>
      <c r="I97" s="21" t="str">
        <f aca="false">IF($A97="","",SUMIFS(Mouvements!$E$5:$E$1004,Mouvements!$B$5:$B$1004,$A97,Mouvements!$D$5:$D$1004,"Entrée"))</f>
        <v/>
      </c>
      <c r="J97" s="21" t="str">
        <f aca="false">IF($A97="","",SUMIFS(Mouvements!$E$5:$E$1004,Mouvements!$B$5:$B$1004,$A97,Mouvements!$D$5:$D$1004,"Sortie"))</f>
        <v/>
      </c>
      <c r="K97" s="21" t="str">
        <f aca="false">IF($A97="","",N($G97)+$I97-$J97)</f>
        <v/>
      </c>
      <c r="L97" s="21" t="str">
        <f aca="false">IF($A97="","",$K97*N($E97))</f>
        <v/>
      </c>
      <c r="M97" s="22" t="str">
        <f aca="false">IF($A97="","",IF($K97&lt;=0,"Rupture",IF($K97&lt;=N($H97),"À commander","OK")))</f>
        <v/>
      </c>
      <c r="N97" s="23"/>
      <c r="O97" s="23"/>
      <c r="P97" s="21" t="str">
        <f aca="false">IF($A97="","",IF($K97&lt;=N($H97),MAX(0,2*N($H97)-$K97),0))</f>
        <v/>
      </c>
    </row>
    <row r="98" customFormat="false" ht="15" hidden="false" customHeight="false" outlineLevel="0" collapsed="false">
      <c r="A98" s="23"/>
      <c r="B98" s="23"/>
      <c r="C98" s="23"/>
      <c r="D98" s="23"/>
      <c r="E98" s="24"/>
      <c r="F98" s="24"/>
      <c r="G98" s="24"/>
      <c r="H98" s="24"/>
      <c r="I98" s="21" t="str">
        <f aca="false">IF($A98="","",SUMIFS(Mouvements!$E$5:$E$1004,Mouvements!$B$5:$B$1004,$A98,Mouvements!$D$5:$D$1004,"Entrée"))</f>
        <v/>
      </c>
      <c r="J98" s="21" t="str">
        <f aca="false">IF($A98="","",SUMIFS(Mouvements!$E$5:$E$1004,Mouvements!$B$5:$B$1004,$A98,Mouvements!$D$5:$D$1004,"Sortie"))</f>
        <v/>
      </c>
      <c r="K98" s="21" t="str">
        <f aca="false">IF($A98="","",N($G98)+$I98-$J98)</f>
        <v/>
      </c>
      <c r="L98" s="21" t="str">
        <f aca="false">IF($A98="","",$K98*N($E98))</f>
        <v/>
      </c>
      <c r="M98" s="22" t="str">
        <f aca="false">IF($A98="","",IF($K98&lt;=0,"Rupture",IF($K98&lt;=N($H98),"À commander","OK")))</f>
        <v/>
      </c>
      <c r="N98" s="23"/>
      <c r="O98" s="23"/>
      <c r="P98" s="21" t="str">
        <f aca="false">IF($A98="","",IF($K98&lt;=N($H98),MAX(0,2*N($H98)-$K98),0))</f>
        <v/>
      </c>
    </row>
    <row r="99" customFormat="false" ht="15" hidden="false" customHeight="false" outlineLevel="0" collapsed="false">
      <c r="A99" s="23"/>
      <c r="B99" s="23"/>
      <c r="C99" s="23"/>
      <c r="D99" s="23"/>
      <c r="E99" s="24"/>
      <c r="F99" s="24"/>
      <c r="G99" s="24"/>
      <c r="H99" s="24"/>
      <c r="I99" s="21" t="str">
        <f aca="false">IF($A99="","",SUMIFS(Mouvements!$E$5:$E$1004,Mouvements!$B$5:$B$1004,$A99,Mouvements!$D$5:$D$1004,"Entrée"))</f>
        <v/>
      </c>
      <c r="J99" s="21" t="str">
        <f aca="false">IF($A99="","",SUMIFS(Mouvements!$E$5:$E$1004,Mouvements!$B$5:$B$1004,$A99,Mouvements!$D$5:$D$1004,"Sortie"))</f>
        <v/>
      </c>
      <c r="K99" s="21" t="str">
        <f aca="false">IF($A99="","",N($G99)+$I99-$J99)</f>
        <v/>
      </c>
      <c r="L99" s="21" t="str">
        <f aca="false">IF($A99="","",$K99*N($E99))</f>
        <v/>
      </c>
      <c r="M99" s="22" t="str">
        <f aca="false">IF($A99="","",IF($K99&lt;=0,"Rupture",IF($K99&lt;=N($H99),"À commander","OK")))</f>
        <v/>
      </c>
      <c r="N99" s="23"/>
      <c r="O99" s="23"/>
      <c r="P99" s="21" t="str">
        <f aca="false">IF($A99="","",IF($K99&lt;=N($H99),MAX(0,2*N($H99)-$K99),0))</f>
        <v/>
      </c>
    </row>
    <row r="100" customFormat="false" ht="15" hidden="false" customHeight="false" outlineLevel="0" collapsed="false">
      <c r="A100" s="23"/>
      <c r="B100" s="23"/>
      <c r="C100" s="23"/>
      <c r="D100" s="23"/>
      <c r="E100" s="24"/>
      <c r="F100" s="24"/>
      <c r="G100" s="24"/>
      <c r="H100" s="24"/>
      <c r="I100" s="21" t="str">
        <f aca="false">IF($A100="","",SUMIFS(Mouvements!$E$5:$E$1004,Mouvements!$B$5:$B$1004,$A100,Mouvements!$D$5:$D$1004,"Entrée"))</f>
        <v/>
      </c>
      <c r="J100" s="21" t="str">
        <f aca="false">IF($A100="","",SUMIFS(Mouvements!$E$5:$E$1004,Mouvements!$B$5:$B$1004,$A100,Mouvements!$D$5:$D$1004,"Sortie"))</f>
        <v/>
      </c>
      <c r="K100" s="21" t="str">
        <f aca="false">IF($A100="","",N($G100)+$I100-$J100)</f>
        <v/>
      </c>
      <c r="L100" s="21" t="str">
        <f aca="false">IF($A100="","",$K100*N($E100))</f>
        <v/>
      </c>
      <c r="M100" s="22" t="str">
        <f aca="false">IF($A100="","",IF($K100&lt;=0,"Rupture",IF($K100&lt;=N($H100),"À commander","OK")))</f>
        <v/>
      </c>
      <c r="N100" s="23"/>
      <c r="O100" s="23"/>
      <c r="P100" s="21" t="str">
        <f aca="false">IF($A100="","",IF($K100&lt;=N($H100),MAX(0,2*N($H100)-$K100),0))</f>
        <v/>
      </c>
    </row>
    <row r="101" customFormat="false" ht="15" hidden="false" customHeight="false" outlineLevel="0" collapsed="false">
      <c r="A101" s="23"/>
      <c r="B101" s="23"/>
      <c r="C101" s="23"/>
      <c r="D101" s="23"/>
      <c r="E101" s="24"/>
      <c r="F101" s="24"/>
      <c r="G101" s="24"/>
      <c r="H101" s="24"/>
      <c r="I101" s="21" t="str">
        <f aca="false">IF($A101="","",SUMIFS(Mouvements!$E$5:$E$1004,Mouvements!$B$5:$B$1004,$A101,Mouvements!$D$5:$D$1004,"Entrée"))</f>
        <v/>
      </c>
      <c r="J101" s="21" t="str">
        <f aca="false">IF($A101="","",SUMIFS(Mouvements!$E$5:$E$1004,Mouvements!$B$5:$B$1004,$A101,Mouvements!$D$5:$D$1004,"Sortie"))</f>
        <v/>
      </c>
      <c r="K101" s="21" t="str">
        <f aca="false">IF($A101="","",N($G101)+$I101-$J101)</f>
        <v/>
      </c>
      <c r="L101" s="21" t="str">
        <f aca="false">IF($A101="","",$K101*N($E101))</f>
        <v/>
      </c>
      <c r="M101" s="22" t="str">
        <f aca="false">IF($A101="","",IF($K101&lt;=0,"Rupture",IF($K101&lt;=N($H101),"À commander","OK")))</f>
        <v/>
      </c>
      <c r="N101" s="23"/>
      <c r="O101" s="23"/>
      <c r="P101" s="21" t="str">
        <f aca="false">IF($A101="","",IF($K101&lt;=N($H101),MAX(0,2*N($H101)-$K101),0))</f>
        <v/>
      </c>
    </row>
    <row r="102" customFormat="false" ht="15" hidden="false" customHeight="false" outlineLevel="0" collapsed="false">
      <c r="A102" s="23"/>
      <c r="B102" s="23"/>
      <c r="C102" s="23"/>
      <c r="D102" s="23"/>
      <c r="E102" s="24"/>
      <c r="F102" s="24"/>
      <c r="G102" s="24"/>
      <c r="H102" s="24"/>
      <c r="I102" s="21" t="str">
        <f aca="false">IF($A102="","",SUMIFS(Mouvements!$E$5:$E$1004,Mouvements!$B$5:$B$1004,$A102,Mouvements!$D$5:$D$1004,"Entrée"))</f>
        <v/>
      </c>
      <c r="J102" s="21" t="str">
        <f aca="false">IF($A102="","",SUMIFS(Mouvements!$E$5:$E$1004,Mouvements!$B$5:$B$1004,$A102,Mouvements!$D$5:$D$1004,"Sortie"))</f>
        <v/>
      </c>
      <c r="K102" s="21" t="str">
        <f aca="false">IF($A102="","",N($G102)+$I102-$J102)</f>
        <v/>
      </c>
      <c r="L102" s="21" t="str">
        <f aca="false">IF($A102="","",$K102*N($E102))</f>
        <v/>
      </c>
      <c r="M102" s="22" t="str">
        <f aca="false">IF($A102="","",IF($K102&lt;=0,"Rupture",IF($K102&lt;=N($H102),"À commander","OK")))</f>
        <v/>
      </c>
      <c r="N102" s="23"/>
      <c r="O102" s="23"/>
      <c r="P102" s="21" t="str">
        <f aca="false">IF($A102="","",IF($K102&lt;=N($H102),MAX(0,2*N($H102)-$K102),0))</f>
        <v/>
      </c>
    </row>
    <row r="103" customFormat="false" ht="15" hidden="false" customHeight="false" outlineLevel="0" collapsed="false">
      <c r="A103" s="23"/>
      <c r="B103" s="23"/>
      <c r="C103" s="23"/>
      <c r="D103" s="23"/>
      <c r="E103" s="24"/>
      <c r="F103" s="24"/>
      <c r="G103" s="24"/>
      <c r="H103" s="24"/>
      <c r="I103" s="21" t="str">
        <f aca="false">IF($A103="","",SUMIFS(Mouvements!$E$5:$E$1004,Mouvements!$B$5:$B$1004,$A103,Mouvements!$D$5:$D$1004,"Entrée"))</f>
        <v/>
      </c>
      <c r="J103" s="21" t="str">
        <f aca="false">IF($A103="","",SUMIFS(Mouvements!$E$5:$E$1004,Mouvements!$B$5:$B$1004,$A103,Mouvements!$D$5:$D$1004,"Sortie"))</f>
        <v/>
      </c>
      <c r="K103" s="21" t="str">
        <f aca="false">IF($A103="","",N($G103)+$I103-$J103)</f>
        <v/>
      </c>
      <c r="L103" s="21" t="str">
        <f aca="false">IF($A103="","",$K103*N($E103))</f>
        <v/>
      </c>
      <c r="M103" s="22" t="str">
        <f aca="false">IF($A103="","",IF($K103&lt;=0,"Rupture",IF($K103&lt;=N($H103),"À commander","OK")))</f>
        <v/>
      </c>
      <c r="N103" s="23"/>
      <c r="O103" s="23"/>
      <c r="P103" s="21" t="str">
        <f aca="false">IF($A103="","",IF($K103&lt;=N($H103),MAX(0,2*N($H103)-$K103),0))</f>
        <v/>
      </c>
    </row>
    <row r="104" customFormat="false" ht="15" hidden="false" customHeight="false" outlineLevel="0" collapsed="false">
      <c r="A104" s="23"/>
      <c r="B104" s="23"/>
      <c r="C104" s="23"/>
      <c r="D104" s="23"/>
      <c r="E104" s="24"/>
      <c r="F104" s="24"/>
      <c r="G104" s="24"/>
      <c r="H104" s="24"/>
      <c r="I104" s="21" t="str">
        <f aca="false">IF($A104="","",SUMIFS(Mouvements!$E$5:$E$1004,Mouvements!$B$5:$B$1004,$A104,Mouvements!$D$5:$D$1004,"Entrée"))</f>
        <v/>
      </c>
      <c r="J104" s="21" t="str">
        <f aca="false">IF($A104="","",SUMIFS(Mouvements!$E$5:$E$1004,Mouvements!$B$5:$B$1004,$A104,Mouvements!$D$5:$D$1004,"Sortie"))</f>
        <v/>
      </c>
      <c r="K104" s="21" t="str">
        <f aca="false">IF($A104="","",N($G104)+$I104-$J104)</f>
        <v/>
      </c>
      <c r="L104" s="21" t="str">
        <f aca="false">IF($A104="","",$K104*N($E104))</f>
        <v/>
      </c>
      <c r="M104" s="22" t="str">
        <f aca="false">IF($A104="","",IF($K104&lt;=0,"Rupture",IF($K104&lt;=N($H104),"À commander","OK")))</f>
        <v/>
      </c>
      <c r="N104" s="23"/>
      <c r="O104" s="23"/>
      <c r="P104" s="21" t="str">
        <f aca="false">IF($A104="","",IF($K104&lt;=N($H104),MAX(0,2*N($H104)-$K104),0))</f>
        <v/>
      </c>
    </row>
    <row r="105" customFormat="false" ht="15" hidden="false" customHeight="false" outlineLevel="0" collapsed="false">
      <c r="A105" s="23"/>
      <c r="B105" s="23"/>
      <c r="C105" s="23"/>
      <c r="D105" s="23"/>
      <c r="E105" s="24"/>
      <c r="F105" s="24"/>
      <c r="G105" s="24"/>
      <c r="H105" s="24"/>
      <c r="I105" s="21" t="str">
        <f aca="false">IF($A105="","",SUMIFS(Mouvements!$E$5:$E$1004,Mouvements!$B$5:$B$1004,$A105,Mouvements!$D$5:$D$1004,"Entrée"))</f>
        <v/>
      </c>
      <c r="J105" s="21" t="str">
        <f aca="false">IF($A105="","",SUMIFS(Mouvements!$E$5:$E$1004,Mouvements!$B$5:$B$1004,$A105,Mouvements!$D$5:$D$1004,"Sortie"))</f>
        <v/>
      </c>
      <c r="K105" s="21" t="str">
        <f aca="false">IF($A105="","",N($G105)+$I105-$J105)</f>
        <v/>
      </c>
      <c r="L105" s="21" t="str">
        <f aca="false">IF($A105="","",$K105*N($E105))</f>
        <v/>
      </c>
      <c r="M105" s="22" t="str">
        <f aca="false">IF($A105="","",IF($K105&lt;=0,"Rupture",IF($K105&lt;=N($H105),"À commander","OK")))</f>
        <v/>
      </c>
      <c r="N105" s="23"/>
      <c r="O105" s="23"/>
      <c r="P105" s="21" t="str">
        <f aca="false">IF($A105="","",IF($K105&lt;=N($H105),MAX(0,2*N($H105)-$K105),0))</f>
        <v/>
      </c>
    </row>
    <row r="106" customFormat="false" ht="15" hidden="false" customHeight="false" outlineLevel="0" collapsed="false">
      <c r="A106" s="23"/>
      <c r="B106" s="23"/>
      <c r="C106" s="23"/>
      <c r="D106" s="23"/>
      <c r="E106" s="24"/>
      <c r="F106" s="24"/>
      <c r="G106" s="24"/>
      <c r="H106" s="24"/>
      <c r="I106" s="21" t="str">
        <f aca="false">IF($A106="","",SUMIFS(Mouvements!$E$5:$E$1004,Mouvements!$B$5:$B$1004,$A106,Mouvements!$D$5:$D$1004,"Entrée"))</f>
        <v/>
      </c>
      <c r="J106" s="21" t="str">
        <f aca="false">IF($A106="","",SUMIFS(Mouvements!$E$5:$E$1004,Mouvements!$B$5:$B$1004,$A106,Mouvements!$D$5:$D$1004,"Sortie"))</f>
        <v/>
      </c>
      <c r="K106" s="21" t="str">
        <f aca="false">IF($A106="","",N($G106)+$I106-$J106)</f>
        <v/>
      </c>
      <c r="L106" s="21" t="str">
        <f aca="false">IF($A106="","",$K106*N($E106))</f>
        <v/>
      </c>
      <c r="M106" s="22" t="str">
        <f aca="false">IF($A106="","",IF($K106&lt;=0,"Rupture",IF($K106&lt;=N($H106),"À commander","OK")))</f>
        <v/>
      </c>
      <c r="N106" s="23"/>
      <c r="O106" s="23"/>
      <c r="P106" s="21" t="str">
        <f aca="false">IF($A106="","",IF($K106&lt;=N($H106),MAX(0,2*N($H106)-$K106),0))</f>
        <v/>
      </c>
    </row>
    <row r="107" customFormat="false" ht="15" hidden="false" customHeight="false" outlineLevel="0" collapsed="false">
      <c r="A107" s="23"/>
      <c r="B107" s="23"/>
      <c r="C107" s="23"/>
      <c r="D107" s="23"/>
      <c r="E107" s="24"/>
      <c r="F107" s="24"/>
      <c r="G107" s="24"/>
      <c r="H107" s="24"/>
      <c r="I107" s="21" t="str">
        <f aca="false">IF($A107="","",SUMIFS(Mouvements!$E$5:$E$1004,Mouvements!$B$5:$B$1004,$A107,Mouvements!$D$5:$D$1004,"Entrée"))</f>
        <v/>
      </c>
      <c r="J107" s="21" t="str">
        <f aca="false">IF($A107="","",SUMIFS(Mouvements!$E$5:$E$1004,Mouvements!$B$5:$B$1004,$A107,Mouvements!$D$5:$D$1004,"Sortie"))</f>
        <v/>
      </c>
      <c r="K107" s="21" t="str">
        <f aca="false">IF($A107="","",N($G107)+$I107-$J107)</f>
        <v/>
      </c>
      <c r="L107" s="21" t="str">
        <f aca="false">IF($A107="","",$K107*N($E107))</f>
        <v/>
      </c>
      <c r="M107" s="22" t="str">
        <f aca="false">IF($A107="","",IF($K107&lt;=0,"Rupture",IF($K107&lt;=N($H107),"À commander","OK")))</f>
        <v/>
      </c>
      <c r="N107" s="23"/>
      <c r="O107" s="23"/>
      <c r="P107" s="21" t="str">
        <f aca="false">IF($A107="","",IF($K107&lt;=N($H107),MAX(0,2*N($H107)-$K107),0))</f>
        <v/>
      </c>
    </row>
    <row r="108" customFormat="false" ht="15" hidden="false" customHeight="false" outlineLevel="0" collapsed="false">
      <c r="A108" s="23"/>
      <c r="B108" s="23"/>
      <c r="C108" s="23"/>
      <c r="D108" s="23"/>
      <c r="E108" s="24"/>
      <c r="F108" s="24"/>
      <c r="G108" s="24"/>
      <c r="H108" s="24"/>
      <c r="I108" s="21" t="str">
        <f aca="false">IF($A108="","",SUMIFS(Mouvements!$E$5:$E$1004,Mouvements!$B$5:$B$1004,$A108,Mouvements!$D$5:$D$1004,"Entrée"))</f>
        <v/>
      </c>
      <c r="J108" s="21" t="str">
        <f aca="false">IF($A108="","",SUMIFS(Mouvements!$E$5:$E$1004,Mouvements!$B$5:$B$1004,$A108,Mouvements!$D$5:$D$1004,"Sortie"))</f>
        <v/>
      </c>
      <c r="K108" s="21" t="str">
        <f aca="false">IF($A108="","",N($G108)+$I108-$J108)</f>
        <v/>
      </c>
      <c r="L108" s="21" t="str">
        <f aca="false">IF($A108="","",$K108*N($E108))</f>
        <v/>
      </c>
      <c r="M108" s="22" t="str">
        <f aca="false">IF($A108="","",IF($K108&lt;=0,"Rupture",IF($K108&lt;=N($H108),"À commander","OK")))</f>
        <v/>
      </c>
      <c r="N108" s="23"/>
      <c r="O108" s="23"/>
      <c r="P108" s="21" t="str">
        <f aca="false">IF($A108="","",IF($K108&lt;=N($H108),MAX(0,2*N($H108)-$K108),0))</f>
        <v/>
      </c>
    </row>
    <row r="109" customFormat="false" ht="15" hidden="false" customHeight="false" outlineLevel="0" collapsed="false">
      <c r="A109" s="23"/>
      <c r="B109" s="23"/>
      <c r="C109" s="23"/>
      <c r="D109" s="23"/>
      <c r="E109" s="24"/>
      <c r="F109" s="24"/>
      <c r="G109" s="24"/>
      <c r="H109" s="24"/>
      <c r="I109" s="21" t="str">
        <f aca="false">IF($A109="","",SUMIFS(Mouvements!$E$5:$E$1004,Mouvements!$B$5:$B$1004,$A109,Mouvements!$D$5:$D$1004,"Entrée"))</f>
        <v/>
      </c>
      <c r="J109" s="21" t="str">
        <f aca="false">IF($A109="","",SUMIFS(Mouvements!$E$5:$E$1004,Mouvements!$B$5:$B$1004,$A109,Mouvements!$D$5:$D$1004,"Sortie"))</f>
        <v/>
      </c>
      <c r="K109" s="21" t="str">
        <f aca="false">IF($A109="","",N($G109)+$I109-$J109)</f>
        <v/>
      </c>
      <c r="L109" s="21" t="str">
        <f aca="false">IF($A109="","",$K109*N($E109))</f>
        <v/>
      </c>
      <c r="M109" s="22" t="str">
        <f aca="false">IF($A109="","",IF($K109&lt;=0,"Rupture",IF($K109&lt;=N($H109),"À commander","OK")))</f>
        <v/>
      </c>
      <c r="N109" s="23"/>
      <c r="O109" s="23"/>
      <c r="P109" s="21" t="str">
        <f aca="false">IF($A109="","",IF($K109&lt;=N($H109),MAX(0,2*N($H109)-$K109),0))</f>
        <v/>
      </c>
    </row>
    <row r="110" customFormat="false" ht="15" hidden="false" customHeight="false" outlineLevel="0" collapsed="false">
      <c r="A110" s="23"/>
      <c r="B110" s="23"/>
      <c r="C110" s="23"/>
      <c r="D110" s="23"/>
      <c r="E110" s="24"/>
      <c r="F110" s="24"/>
      <c r="G110" s="24"/>
      <c r="H110" s="24"/>
      <c r="I110" s="21" t="str">
        <f aca="false">IF($A110="","",SUMIFS(Mouvements!$E$5:$E$1004,Mouvements!$B$5:$B$1004,$A110,Mouvements!$D$5:$D$1004,"Entrée"))</f>
        <v/>
      </c>
      <c r="J110" s="21" t="str">
        <f aca="false">IF($A110="","",SUMIFS(Mouvements!$E$5:$E$1004,Mouvements!$B$5:$B$1004,$A110,Mouvements!$D$5:$D$1004,"Sortie"))</f>
        <v/>
      </c>
      <c r="K110" s="21" t="str">
        <f aca="false">IF($A110="","",N($G110)+$I110-$J110)</f>
        <v/>
      </c>
      <c r="L110" s="21" t="str">
        <f aca="false">IF($A110="","",$K110*N($E110))</f>
        <v/>
      </c>
      <c r="M110" s="22" t="str">
        <f aca="false">IF($A110="","",IF($K110&lt;=0,"Rupture",IF($K110&lt;=N($H110),"À commander","OK")))</f>
        <v/>
      </c>
      <c r="N110" s="23"/>
      <c r="O110" s="23"/>
      <c r="P110" s="21" t="str">
        <f aca="false">IF($A110="","",IF($K110&lt;=N($H110),MAX(0,2*N($H110)-$K110),0))</f>
        <v/>
      </c>
    </row>
    <row r="111" customFormat="false" ht="15" hidden="false" customHeight="false" outlineLevel="0" collapsed="false">
      <c r="A111" s="23"/>
      <c r="B111" s="23"/>
      <c r="C111" s="23"/>
      <c r="D111" s="23"/>
      <c r="E111" s="24"/>
      <c r="F111" s="24"/>
      <c r="G111" s="24"/>
      <c r="H111" s="24"/>
      <c r="I111" s="21" t="str">
        <f aca="false">IF($A111="","",SUMIFS(Mouvements!$E$5:$E$1004,Mouvements!$B$5:$B$1004,$A111,Mouvements!$D$5:$D$1004,"Entrée"))</f>
        <v/>
      </c>
      <c r="J111" s="21" t="str">
        <f aca="false">IF($A111="","",SUMIFS(Mouvements!$E$5:$E$1004,Mouvements!$B$5:$B$1004,$A111,Mouvements!$D$5:$D$1004,"Sortie"))</f>
        <v/>
      </c>
      <c r="K111" s="21" t="str">
        <f aca="false">IF($A111="","",N($G111)+$I111-$J111)</f>
        <v/>
      </c>
      <c r="L111" s="21" t="str">
        <f aca="false">IF($A111="","",$K111*N($E111))</f>
        <v/>
      </c>
      <c r="M111" s="22" t="str">
        <f aca="false">IF($A111="","",IF($K111&lt;=0,"Rupture",IF($K111&lt;=N($H111),"À commander","OK")))</f>
        <v/>
      </c>
      <c r="N111" s="23"/>
      <c r="O111" s="23"/>
      <c r="P111" s="21" t="str">
        <f aca="false">IF($A111="","",IF($K111&lt;=N($H111),MAX(0,2*N($H111)-$K111),0))</f>
        <v/>
      </c>
    </row>
    <row r="112" customFormat="false" ht="15" hidden="false" customHeight="false" outlineLevel="0" collapsed="false">
      <c r="A112" s="23"/>
      <c r="B112" s="23"/>
      <c r="C112" s="23"/>
      <c r="D112" s="23"/>
      <c r="E112" s="24"/>
      <c r="F112" s="24"/>
      <c r="G112" s="24"/>
      <c r="H112" s="24"/>
      <c r="I112" s="21" t="str">
        <f aca="false">IF($A112="","",SUMIFS(Mouvements!$E$5:$E$1004,Mouvements!$B$5:$B$1004,$A112,Mouvements!$D$5:$D$1004,"Entrée"))</f>
        <v/>
      </c>
      <c r="J112" s="21" t="str">
        <f aca="false">IF($A112="","",SUMIFS(Mouvements!$E$5:$E$1004,Mouvements!$B$5:$B$1004,$A112,Mouvements!$D$5:$D$1004,"Sortie"))</f>
        <v/>
      </c>
      <c r="K112" s="21" t="str">
        <f aca="false">IF($A112="","",N($G112)+$I112-$J112)</f>
        <v/>
      </c>
      <c r="L112" s="21" t="str">
        <f aca="false">IF($A112="","",$K112*N($E112))</f>
        <v/>
      </c>
      <c r="M112" s="22" t="str">
        <f aca="false">IF($A112="","",IF($K112&lt;=0,"Rupture",IF($K112&lt;=N($H112),"À commander","OK")))</f>
        <v/>
      </c>
      <c r="N112" s="23"/>
      <c r="O112" s="23"/>
      <c r="P112" s="21" t="str">
        <f aca="false">IF($A112="","",IF($K112&lt;=N($H112),MAX(0,2*N($H112)-$K112),0))</f>
        <v/>
      </c>
    </row>
    <row r="113" customFormat="false" ht="15" hidden="false" customHeight="false" outlineLevel="0" collapsed="false">
      <c r="A113" s="23"/>
      <c r="B113" s="23"/>
      <c r="C113" s="23"/>
      <c r="D113" s="23"/>
      <c r="E113" s="24"/>
      <c r="F113" s="24"/>
      <c r="G113" s="24"/>
      <c r="H113" s="24"/>
      <c r="I113" s="21" t="str">
        <f aca="false">IF($A113="","",SUMIFS(Mouvements!$E$5:$E$1004,Mouvements!$B$5:$B$1004,$A113,Mouvements!$D$5:$D$1004,"Entrée"))</f>
        <v/>
      </c>
      <c r="J113" s="21" t="str">
        <f aca="false">IF($A113="","",SUMIFS(Mouvements!$E$5:$E$1004,Mouvements!$B$5:$B$1004,$A113,Mouvements!$D$5:$D$1004,"Sortie"))</f>
        <v/>
      </c>
      <c r="K113" s="21" t="str">
        <f aca="false">IF($A113="","",N($G113)+$I113-$J113)</f>
        <v/>
      </c>
      <c r="L113" s="21" t="str">
        <f aca="false">IF($A113="","",$K113*N($E113))</f>
        <v/>
      </c>
      <c r="M113" s="22" t="str">
        <f aca="false">IF($A113="","",IF($K113&lt;=0,"Rupture",IF($K113&lt;=N($H113),"À commander","OK")))</f>
        <v/>
      </c>
      <c r="N113" s="23"/>
      <c r="O113" s="23"/>
      <c r="P113" s="21" t="str">
        <f aca="false">IF($A113="","",IF($K113&lt;=N($H113),MAX(0,2*N($H113)-$K113),0))</f>
        <v/>
      </c>
    </row>
    <row r="114" customFormat="false" ht="15" hidden="false" customHeight="false" outlineLevel="0" collapsed="false">
      <c r="A114" s="23"/>
      <c r="B114" s="23"/>
      <c r="C114" s="23"/>
      <c r="D114" s="23"/>
      <c r="E114" s="24"/>
      <c r="F114" s="24"/>
      <c r="G114" s="24"/>
      <c r="H114" s="24"/>
      <c r="I114" s="21" t="str">
        <f aca="false">IF($A114="","",SUMIFS(Mouvements!$E$5:$E$1004,Mouvements!$B$5:$B$1004,$A114,Mouvements!$D$5:$D$1004,"Entrée"))</f>
        <v/>
      </c>
      <c r="J114" s="21" t="str">
        <f aca="false">IF($A114="","",SUMIFS(Mouvements!$E$5:$E$1004,Mouvements!$B$5:$B$1004,$A114,Mouvements!$D$5:$D$1004,"Sortie"))</f>
        <v/>
      </c>
      <c r="K114" s="21" t="str">
        <f aca="false">IF($A114="","",N($G114)+$I114-$J114)</f>
        <v/>
      </c>
      <c r="L114" s="21" t="str">
        <f aca="false">IF($A114="","",$K114*N($E114))</f>
        <v/>
      </c>
      <c r="M114" s="22" t="str">
        <f aca="false">IF($A114="","",IF($K114&lt;=0,"Rupture",IF($K114&lt;=N($H114),"À commander","OK")))</f>
        <v/>
      </c>
      <c r="N114" s="23"/>
      <c r="O114" s="23"/>
      <c r="P114" s="21" t="str">
        <f aca="false">IF($A114="","",IF($K114&lt;=N($H114),MAX(0,2*N($H114)-$K114),0))</f>
        <v/>
      </c>
    </row>
    <row r="115" customFormat="false" ht="15" hidden="false" customHeight="false" outlineLevel="0" collapsed="false">
      <c r="A115" s="23"/>
      <c r="B115" s="23"/>
      <c r="C115" s="23"/>
      <c r="D115" s="23"/>
      <c r="E115" s="24"/>
      <c r="F115" s="24"/>
      <c r="G115" s="24"/>
      <c r="H115" s="24"/>
      <c r="I115" s="21" t="str">
        <f aca="false">IF($A115="","",SUMIFS(Mouvements!$E$5:$E$1004,Mouvements!$B$5:$B$1004,$A115,Mouvements!$D$5:$D$1004,"Entrée"))</f>
        <v/>
      </c>
      <c r="J115" s="21" t="str">
        <f aca="false">IF($A115="","",SUMIFS(Mouvements!$E$5:$E$1004,Mouvements!$B$5:$B$1004,$A115,Mouvements!$D$5:$D$1004,"Sortie"))</f>
        <v/>
      </c>
      <c r="K115" s="21" t="str">
        <f aca="false">IF($A115="","",N($G115)+$I115-$J115)</f>
        <v/>
      </c>
      <c r="L115" s="21" t="str">
        <f aca="false">IF($A115="","",$K115*N($E115))</f>
        <v/>
      </c>
      <c r="M115" s="22" t="str">
        <f aca="false">IF($A115="","",IF($K115&lt;=0,"Rupture",IF($K115&lt;=N($H115),"À commander","OK")))</f>
        <v/>
      </c>
      <c r="N115" s="23"/>
      <c r="O115" s="23"/>
      <c r="P115" s="21" t="str">
        <f aca="false">IF($A115="","",IF($K115&lt;=N($H115),MAX(0,2*N($H115)-$K115),0))</f>
        <v/>
      </c>
    </row>
    <row r="116" customFormat="false" ht="15" hidden="false" customHeight="false" outlineLevel="0" collapsed="false">
      <c r="A116" s="23"/>
      <c r="B116" s="23"/>
      <c r="C116" s="23"/>
      <c r="D116" s="23"/>
      <c r="E116" s="24"/>
      <c r="F116" s="24"/>
      <c r="G116" s="24"/>
      <c r="H116" s="24"/>
      <c r="I116" s="21" t="str">
        <f aca="false">IF($A116="","",SUMIFS(Mouvements!$E$5:$E$1004,Mouvements!$B$5:$B$1004,$A116,Mouvements!$D$5:$D$1004,"Entrée"))</f>
        <v/>
      </c>
      <c r="J116" s="21" t="str">
        <f aca="false">IF($A116="","",SUMIFS(Mouvements!$E$5:$E$1004,Mouvements!$B$5:$B$1004,$A116,Mouvements!$D$5:$D$1004,"Sortie"))</f>
        <v/>
      </c>
      <c r="K116" s="21" t="str">
        <f aca="false">IF($A116="","",N($G116)+$I116-$J116)</f>
        <v/>
      </c>
      <c r="L116" s="21" t="str">
        <f aca="false">IF($A116="","",$K116*N($E116))</f>
        <v/>
      </c>
      <c r="M116" s="22" t="str">
        <f aca="false">IF($A116="","",IF($K116&lt;=0,"Rupture",IF($K116&lt;=N($H116),"À commander","OK")))</f>
        <v/>
      </c>
      <c r="N116" s="23"/>
      <c r="O116" s="23"/>
      <c r="P116" s="21" t="str">
        <f aca="false">IF($A116="","",IF($K116&lt;=N($H116),MAX(0,2*N($H116)-$K116),0))</f>
        <v/>
      </c>
    </row>
    <row r="117" customFormat="false" ht="15" hidden="false" customHeight="false" outlineLevel="0" collapsed="false">
      <c r="A117" s="23"/>
      <c r="B117" s="23"/>
      <c r="C117" s="23"/>
      <c r="D117" s="23"/>
      <c r="E117" s="24"/>
      <c r="F117" s="24"/>
      <c r="G117" s="24"/>
      <c r="H117" s="24"/>
      <c r="I117" s="21" t="str">
        <f aca="false">IF($A117="","",SUMIFS(Mouvements!$E$5:$E$1004,Mouvements!$B$5:$B$1004,$A117,Mouvements!$D$5:$D$1004,"Entrée"))</f>
        <v/>
      </c>
      <c r="J117" s="21" t="str">
        <f aca="false">IF($A117="","",SUMIFS(Mouvements!$E$5:$E$1004,Mouvements!$B$5:$B$1004,$A117,Mouvements!$D$5:$D$1004,"Sortie"))</f>
        <v/>
      </c>
      <c r="K117" s="21" t="str">
        <f aca="false">IF($A117="","",N($G117)+$I117-$J117)</f>
        <v/>
      </c>
      <c r="L117" s="21" t="str">
        <f aca="false">IF($A117="","",$K117*N($E117))</f>
        <v/>
      </c>
      <c r="M117" s="22" t="str">
        <f aca="false">IF($A117="","",IF($K117&lt;=0,"Rupture",IF($K117&lt;=N($H117),"À commander","OK")))</f>
        <v/>
      </c>
      <c r="N117" s="23"/>
      <c r="O117" s="23"/>
      <c r="P117" s="21" t="str">
        <f aca="false">IF($A117="","",IF($K117&lt;=N($H117),MAX(0,2*N($H117)-$K117),0))</f>
        <v/>
      </c>
    </row>
    <row r="118" customFormat="false" ht="15" hidden="false" customHeight="false" outlineLevel="0" collapsed="false">
      <c r="A118" s="23"/>
      <c r="B118" s="23"/>
      <c r="C118" s="23"/>
      <c r="D118" s="23"/>
      <c r="E118" s="24"/>
      <c r="F118" s="24"/>
      <c r="G118" s="24"/>
      <c r="H118" s="24"/>
      <c r="I118" s="21" t="str">
        <f aca="false">IF($A118="","",SUMIFS(Mouvements!$E$5:$E$1004,Mouvements!$B$5:$B$1004,$A118,Mouvements!$D$5:$D$1004,"Entrée"))</f>
        <v/>
      </c>
      <c r="J118" s="21" t="str">
        <f aca="false">IF($A118="","",SUMIFS(Mouvements!$E$5:$E$1004,Mouvements!$B$5:$B$1004,$A118,Mouvements!$D$5:$D$1004,"Sortie"))</f>
        <v/>
      </c>
      <c r="K118" s="21" t="str">
        <f aca="false">IF($A118="","",N($G118)+$I118-$J118)</f>
        <v/>
      </c>
      <c r="L118" s="21" t="str">
        <f aca="false">IF($A118="","",$K118*N($E118))</f>
        <v/>
      </c>
      <c r="M118" s="22" t="str">
        <f aca="false">IF($A118="","",IF($K118&lt;=0,"Rupture",IF($K118&lt;=N($H118),"À commander","OK")))</f>
        <v/>
      </c>
      <c r="N118" s="23"/>
      <c r="O118" s="23"/>
      <c r="P118" s="21" t="str">
        <f aca="false">IF($A118="","",IF($K118&lt;=N($H118),MAX(0,2*N($H118)-$K118),0))</f>
        <v/>
      </c>
    </row>
    <row r="119" customFormat="false" ht="15" hidden="false" customHeight="false" outlineLevel="0" collapsed="false">
      <c r="A119" s="23"/>
      <c r="B119" s="23"/>
      <c r="C119" s="23"/>
      <c r="D119" s="23"/>
      <c r="E119" s="24"/>
      <c r="F119" s="24"/>
      <c r="G119" s="24"/>
      <c r="H119" s="24"/>
      <c r="I119" s="21" t="str">
        <f aca="false">IF($A119="","",SUMIFS(Mouvements!$E$5:$E$1004,Mouvements!$B$5:$B$1004,$A119,Mouvements!$D$5:$D$1004,"Entrée"))</f>
        <v/>
      </c>
      <c r="J119" s="21" t="str">
        <f aca="false">IF($A119="","",SUMIFS(Mouvements!$E$5:$E$1004,Mouvements!$B$5:$B$1004,$A119,Mouvements!$D$5:$D$1004,"Sortie"))</f>
        <v/>
      </c>
      <c r="K119" s="21" t="str">
        <f aca="false">IF($A119="","",N($G119)+$I119-$J119)</f>
        <v/>
      </c>
      <c r="L119" s="21" t="str">
        <f aca="false">IF($A119="","",$K119*N($E119))</f>
        <v/>
      </c>
      <c r="M119" s="22" t="str">
        <f aca="false">IF($A119="","",IF($K119&lt;=0,"Rupture",IF($K119&lt;=N($H119),"À commander","OK")))</f>
        <v/>
      </c>
      <c r="N119" s="23"/>
      <c r="O119" s="23"/>
      <c r="P119" s="21" t="str">
        <f aca="false">IF($A119="","",IF($K119&lt;=N($H119),MAX(0,2*N($H119)-$K119),0))</f>
        <v/>
      </c>
    </row>
    <row r="120" customFormat="false" ht="15" hidden="false" customHeight="false" outlineLevel="0" collapsed="false">
      <c r="A120" s="23"/>
      <c r="B120" s="23"/>
      <c r="C120" s="23"/>
      <c r="D120" s="23"/>
      <c r="E120" s="24"/>
      <c r="F120" s="24"/>
      <c r="G120" s="24"/>
      <c r="H120" s="24"/>
      <c r="I120" s="21" t="str">
        <f aca="false">IF($A120="","",SUMIFS(Mouvements!$E$5:$E$1004,Mouvements!$B$5:$B$1004,$A120,Mouvements!$D$5:$D$1004,"Entrée"))</f>
        <v/>
      </c>
      <c r="J120" s="21" t="str">
        <f aca="false">IF($A120="","",SUMIFS(Mouvements!$E$5:$E$1004,Mouvements!$B$5:$B$1004,$A120,Mouvements!$D$5:$D$1004,"Sortie"))</f>
        <v/>
      </c>
      <c r="K120" s="21" t="str">
        <f aca="false">IF($A120="","",N($G120)+$I120-$J120)</f>
        <v/>
      </c>
      <c r="L120" s="21" t="str">
        <f aca="false">IF($A120="","",$K120*N($E120))</f>
        <v/>
      </c>
      <c r="M120" s="22" t="str">
        <f aca="false">IF($A120="","",IF($K120&lt;=0,"Rupture",IF($K120&lt;=N($H120),"À commander","OK")))</f>
        <v/>
      </c>
      <c r="N120" s="23"/>
      <c r="O120" s="23"/>
      <c r="P120" s="21" t="str">
        <f aca="false">IF($A120="","",IF($K120&lt;=N($H120),MAX(0,2*N($H120)-$K120),0))</f>
        <v/>
      </c>
    </row>
    <row r="121" customFormat="false" ht="15" hidden="false" customHeight="false" outlineLevel="0" collapsed="false">
      <c r="A121" s="23"/>
      <c r="B121" s="23"/>
      <c r="C121" s="23"/>
      <c r="D121" s="23"/>
      <c r="E121" s="24"/>
      <c r="F121" s="24"/>
      <c r="G121" s="24"/>
      <c r="H121" s="24"/>
      <c r="I121" s="21" t="str">
        <f aca="false">IF($A121="","",SUMIFS(Mouvements!$E$5:$E$1004,Mouvements!$B$5:$B$1004,$A121,Mouvements!$D$5:$D$1004,"Entrée"))</f>
        <v/>
      </c>
      <c r="J121" s="21" t="str">
        <f aca="false">IF($A121="","",SUMIFS(Mouvements!$E$5:$E$1004,Mouvements!$B$5:$B$1004,$A121,Mouvements!$D$5:$D$1004,"Sortie"))</f>
        <v/>
      </c>
      <c r="K121" s="21" t="str">
        <f aca="false">IF($A121="","",N($G121)+$I121-$J121)</f>
        <v/>
      </c>
      <c r="L121" s="21" t="str">
        <f aca="false">IF($A121="","",$K121*N($E121))</f>
        <v/>
      </c>
      <c r="M121" s="22" t="str">
        <f aca="false">IF($A121="","",IF($K121&lt;=0,"Rupture",IF($K121&lt;=N($H121),"À commander","OK")))</f>
        <v/>
      </c>
      <c r="N121" s="23"/>
      <c r="O121" s="23"/>
      <c r="P121" s="21" t="str">
        <f aca="false">IF($A121="","",IF($K121&lt;=N($H121),MAX(0,2*N($H121)-$K121),0))</f>
        <v/>
      </c>
    </row>
    <row r="122" customFormat="false" ht="15" hidden="false" customHeight="false" outlineLevel="0" collapsed="false">
      <c r="A122" s="23"/>
      <c r="B122" s="23"/>
      <c r="C122" s="23"/>
      <c r="D122" s="23"/>
      <c r="E122" s="24"/>
      <c r="F122" s="24"/>
      <c r="G122" s="24"/>
      <c r="H122" s="24"/>
      <c r="I122" s="21" t="str">
        <f aca="false">IF($A122="","",SUMIFS(Mouvements!$E$5:$E$1004,Mouvements!$B$5:$B$1004,$A122,Mouvements!$D$5:$D$1004,"Entrée"))</f>
        <v/>
      </c>
      <c r="J122" s="21" t="str">
        <f aca="false">IF($A122="","",SUMIFS(Mouvements!$E$5:$E$1004,Mouvements!$B$5:$B$1004,$A122,Mouvements!$D$5:$D$1004,"Sortie"))</f>
        <v/>
      </c>
      <c r="K122" s="21" t="str">
        <f aca="false">IF($A122="","",N($G122)+$I122-$J122)</f>
        <v/>
      </c>
      <c r="L122" s="21" t="str">
        <f aca="false">IF($A122="","",$K122*N($E122))</f>
        <v/>
      </c>
      <c r="M122" s="22" t="str">
        <f aca="false">IF($A122="","",IF($K122&lt;=0,"Rupture",IF($K122&lt;=N($H122),"À commander","OK")))</f>
        <v/>
      </c>
      <c r="N122" s="23"/>
      <c r="O122" s="23"/>
      <c r="P122" s="21" t="str">
        <f aca="false">IF($A122="","",IF($K122&lt;=N($H122),MAX(0,2*N($H122)-$K122),0))</f>
        <v/>
      </c>
    </row>
    <row r="123" customFormat="false" ht="15" hidden="false" customHeight="false" outlineLevel="0" collapsed="false">
      <c r="A123" s="23"/>
      <c r="B123" s="23"/>
      <c r="C123" s="23"/>
      <c r="D123" s="23"/>
      <c r="E123" s="24"/>
      <c r="F123" s="24"/>
      <c r="G123" s="24"/>
      <c r="H123" s="24"/>
      <c r="I123" s="21" t="str">
        <f aca="false">IF($A123="","",SUMIFS(Mouvements!$E$5:$E$1004,Mouvements!$B$5:$B$1004,$A123,Mouvements!$D$5:$D$1004,"Entrée"))</f>
        <v/>
      </c>
      <c r="J123" s="21" t="str">
        <f aca="false">IF($A123="","",SUMIFS(Mouvements!$E$5:$E$1004,Mouvements!$B$5:$B$1004,$A123,Mouvements!$D$5:$D$1004,"Sortie"))</f>
        <v/>
      </c>
      <c r="K123" s="21" t="str">
        <f aca="false">IF($A123="","",N($G123)+$I123-$J123)</f>
        <v/>
      </c>
      <c r="L123" s="21" t="str">
        <f aca="false">IF($A123="","",$K123*N($E123))</f>
        <v/>
      </c>
      <c r="M123" s="22" t="str">
        <f aca="false">IF($A123="","",IF($K123&lt;=0,"Rupture",IF($K123&lt;=N($H123),"À commander","OK")))</f>
        <v/>
      </c>
      <c r="N123" s="23"/>
      <c r="O123" s="23"/>
      <c r="P123" s="21" t="str">
        <f aca="false">IF($A123="","",IF($K123&lt;=N($H123),MAX(0,2*N($H123)-$K123),0))</f>
        <v/>
      </c>
    </row>
    <row r="124" customFormat="false" ht="15" hidden="false" customHeight="false" outlineLevel="0" collapsed="false">
      <c r="A124" s="23"/>
      <c r="B124" s="23"/>
      <c r="C124" s="23"/>
      <c r="D124" s="23"/>
      <c r="E124" s="24"/>
      <c r="F124" s="24"/>
      <c r="G124" s="24"/>
      <c r="H124" s="24"/>
      <c r="I124" s="21" t="str">
        <f aca="false">IF($A124="","",SUMIFS(Mouvements!$E$5:$E$1004,Mouvements!$B$5:$B$1004,$A124,Mouvements!$D$5:$D$1004,"Entrée"))</f>
        <v/>
      </c>
      <c r="J124" s="21" t="str">
        <f aca="false">IF($A124="","",SUMIFS(Mouvements!$E$5:$E$1004,Mouvements!$B$5:$B$1004,$A124,Mouvements!$D$5:$D$1004,"Sortie"))</f>
        <v/>
      </c>
      <c r="K124" s="21" t="str">
        <f aca="false">IF($A124="","",N($G124)+$I124-$J124)</f>
        <v/>
      </c>
      <c r="L124" s="21" t="str">
        <f aca="false">IF($A124="","",$K124*N($E124))</f>
        <v/>
      </c>
      <c r="M124" s="22" t="str">
        <f aca="false">IF($A124="","",IF($K124&lt;=0,"Rupture",IF($K124&lt;=N($H124),"À commander","OK")))</f>
        <v/>
      </c>
      <c r="N124" s="23"/>
      <c r="O124" s="23"/>
      <c r="P124" s="21" t="str">
        <f aca="false">IF($A124="","",IF($K124&lt;=N($H124),MAX(0,2*N($H124)-$K124),0))</f>
        <v/>
      </c>
    </row>
    <row r="125" customFormat="false" ht="15" hidden="false" customHeight="false" outlineLevel="0" collapsed="false">
      <c r="A125" s="23"/>
      <c r="B125" s="23"/>
      <c r="C125" s="23"/>
      <c r="D125" s="23"/>
      <c r="E125" s="24"/>
      <c r="F125" s="24"/>
      <c r="G125" s="24"/>
      <c r="H125" s="24"/>
      <c r="I125" s="21" t="str">
        <f aca="false">IF($A125="","",SUMIFS(Mouvements!$E$5:$E$1004,Mouvements!$B$5:$B$1004,$A125,Mouvements!$D$5:$D$1004,"Entrée"))</f>
        <v/>
      </c>
      <c r="J125" s="21" t="str">
        <f aca="false">IF($A125="","",SUMIFS(Mouvements!$E$5:$E$1004,Mouvements!$B$5:$B$1004,$A125,Mouvements!$D$5:$D$1004,"Sortie"))</f>
        <v/>
      </c>
      <c r="K125" s="21" t="str">
        <f aca="false">IF($A125="","",N($G125)+$I125-$J125)</f>
        <v/>
      </c>
      <c r="L125" s="21" t="str">
        <f aca="false">IF($A125="","",$K125*N($E125))</f>
        <v/>
      </c>
      <c r="M125" s="22" t="str">
        <f aca="false">IF($A125="","",IF($K125&lt;=0,"Rupture",IF($K125&lt;=N($H125),"À commander","OK")))</f>
        <v/>
      </c>
      <c r="N125" s="23"/>
      <c r="O125" s="23"/>
      <c r="P125" s="21" t="str">
        <f aca="false">IF($A125="","",IF($K125&lt;=N($H125),MAX(0,2*N($H125)-$K125),0))</f>
        <v/>
      </c>
    </row>
    <row r="126" customFormat="false" ht="15" hidden="false" customHeight="false" outlineLevel="0" collapsed="false">
      <c r="A126" s="23"/>
      <c r="B126" s="23"/>
      <c r="C126" s="23"/>
      <c r="D126" s="23"/>
      <c r="E126" s="24"/>
      <c r="F126" s="24"/>
      <c r="G126" s="24"/>
      <c r="H126" s="24"/>
      <c r="I126" s="21" t="str">
        <f aca="false">IF($A126="","",SUMIFS(Mouvements!$E$5:$E$1004,Mouvements!$B$5:$B$1004,$A126,Mouvements!$D$5:$D$1004,"Entrée"))</f>
        <v/>
      </c>
      <c r="J126" s="21" t="str">
        <f aca="false">IF($A126="","",SUMIFS(Mouvements!$E$5:$E$1004,Mouvements!$B$5:$B$1004,$A126,Mouvements!$D$5:$D$1004,"Sortie"))</f>
        <v/>
      </c>
      <c r="K126" s="21" t="str">
        <f aca="false">IF($A126="","",N($G126)+$I126-$J126)</f>
        <v/>
      </c>
      <c r="L126" s="21" t="str">
        <f aca="false">IF($A126="","",$K126*N($E126))</f>
        <v/>
      </c>
      <c r="M126" s="22" t="str">
        <f aca="false">IF($A126="","",IF($K126&lt;=0,"Rupture",IF($K126&lt;=N($H126),"À commander","OK")))</f>
        <v/>
      </c>
      <c r="N126" s="23"/>
      <c r="O126" s="23"/>
      <c r="P126" s="21" t="str">
        <f aca="false">IF($A126="","",IF($K126&lt;=N($H126),MAX(0,2*N($H126)-$K126),0))</f>
        <v/>
      </c>
    </row>
    <row r="127" customFormat="false" ht="15" hidden="false" customHeight="false" outlineLevel="0" collapsed="false">
      <c r="A127" s="23"/>
      <c r="B127" s="23"/>
      <c r="C127" s="23"/>
      <c r="D127" s="23"/>
      <c r="E127" s="24"/>
      <c r="F127" s="24"/>
      <c r="G127" s="24"/>
      <c r="H127" s="24"/>
      <c r="I127" s="21" t="str">
        <f aca="false">IF($A127="","",SUMIFS(Mouvements!$E$5:$E$1004,Mouvements!$B$5:$B$1004,$A127,Mouvements!$D$5:$D$1004,"Entrée"))</f>
        <v/>
      </c>
      <c r="J127" s="21" t="str">
        <f aca="false">IF($A127="","",SUMIFS(Mouvements!$E$5:$E$1004,Mouvements!$B$5:$B$1004,$A127,Mouvements!$D$5:$D$1004,"Sortie"))</f>
        <v/>
      </c>
      <c r="K127" s="21" t="str">
        <f aca="false">IF($A127="","",N($G127)+$I127-$J127)</f>
        <v/>
      </c>
      <c r="L127" s="21" t="str">
        <f aca="false">IF($A127="","",$K127*N($E127))</f>
        <v/>
      </c>
      <c r="M127" s="22" t="str">
        <f aca="false">IF($A127="","",IF($K127&lt;=0,"Rupture",IF($K127&lt;=N($H127),"À commander","OK")))</f>
        <v/>
      </c>
      <c r="N127" s="23"/>
      <c r="O127" s="23"/>
      <c r="P127" s="21" t="str">
        <f aca="false">IF($A127="","",IF($K127&lt;=N($H127),MAX(0,2*N($H127)-$K127),0))</f>
        <v/>
      </c>
    </row>
    <row r="128" customFormat="false" ht="15" hidden="false" customHeight="false" outlineLevel="0" collapsed="false">
      <c r="A128" s="23"/>
      <c r="B128" s="23"/>
      <c r="C128" s="23"/>
      <c r="D128" s="23"/>
      <c r="E128" s="24"/>
      <c r="F128" s="24"/>
      <c r="G128" s="24"/>
      <c r="H128" s="24"/>
      <c r="I128" s="21" t="str">
        <f aca="false">IF($A128="","",SUMIFS(Mouvements!$E$5:$E$1004,Mouvements!$B$5:$B$1004,$A128,Mouvements!$D$5:$D$1004,"Entrée"))</f>
        <v/>
      </c>
      <c r="J128" s="21" t="str">
        <f aca="false">IF($A128="","",SUMIFS(Mouvements!$E$5:$E$1004,Mouvements!$B$5:$B$1004,$A128,Mouvements!$D$5:$D$1004,"Sortie"))</f>
        <v/>
      </c>
      <c r="K128" s="21" t="str">
        <f aca="false">IF($A128="","",N($G128)+$I128-$J128)</f>
        <v/>
      </c>
      <c r="L128" s="21" t="str">
        <f aca="false">IF($A128="","",$K128*N($E128))</f>
        <v/>
      </c>
      <c r="M128" s="22" t="str">
        <f aca="false">IF($A128="","",IF($K128&lt;=0,"Rupture",IF($K128&lt;=N($H128),"À commander","OK")))</f>
        <v/>
      </c>
      <c r="N128" s="23"/>
      <c r="O128" s="23"/>
      <c r="P128" s="21" t="str">
        <f aca="false">IF($A128="","",IF($K128&lt;=N($H128),MAX(0,2*N($H128)-$K128),0))</f>
        <v/>
      </c>
    </row>
    <row r="129" customFormat="false" ht="15" hidden="false" customHeight="false" outlineLevel="0" collapsed="false">
      <c r="A129" s="23"/>
      <c r="B129" s="23"/>
      <c r="C129" s="23"/>
      <c r="D129" s="23"/>
      <c r="E129" s="24"/>
      <c r="F129" s="24"/>
      <c r="G129" s="24"/>
      <c r="H129" s="24"/>
      <c r="I129" s="21" t="str">
        <f aca="false">IF($A129="","",SUMIFS(Mouvements!$E$5:$E$1004,Mouvements!$B$5:$B$1004,$A129,Mouvements!$D$5:$D$1004,"Entrée"))</f>
        <v/>
      </c>
      <c r="J129" s="21" t="str">
        <f aca="false">IF($A129="","",SUMIFS(Mouvements!$E$5:$E$1004,Mouvements!$B$5:$B$1004,$A129,Mouvements!$D$5:$D$1004,"Sortie"))</f>
        <v/>
      </c>
      <c r="K129" s="21" t="str">
        <f aca="false">IF($A129="","",N($G129)+$I129-$J129)</f>
        <v/>
      </c>
      <c r="L129" s="21" t="str">
        <f aca="false">IF($A129="","",$K129*N($E129))</f>
        <v/>
      </c>
      <c r="M129" s="22" t="str">
        <f aca="false">IF($A129="","",IF($K129&lt;=0,"Rupture",IF($K129&lt;=N($H129),"À commander","OK")))</f>
        <v/>
      </c>
      <c r="N129" s="23"/>
      <c r="O129" s="23"/>
      <c r="P129" s="21" t="str">
        <f aca="false">IF($A129="","",IF($K129&lt;=N($H129),MAX(0,2*N($H129)-$K129),0))</f>
        <v/>
      </c>
    </row>
    <row r="130" customFormat="false" ht="15" hidden="false" customHeight="false" outlineLevel="0" collapsed="false">
      <c r="A130" s="23"/>
      <c r="B130" s="23"/>
      <c r="C130" s="23"/>
      <c r="D130" s="23"/>
      <c r="E130" s="24"/>
      <c r="F130" s="24"/>
      <c r="G130" s="24"/>
      <c r="H130" s="24"/>
      <c r="I130" s="21" t="str">
        <f aca="false">IF($A130="","",SUMIFS(Mouvements!$E$5:$E$1004,Mouvements!$B$5:$B$1004,$A130,Mouvements!$D$5:$D$1004,"Entrée"))</f>
        <v/>
      </c>
      <c r="J130" s="21" t="str">
        <f aca="false">IF($A130="","",SUMIFS(Mouvements!$E$5:$E$1004,Mouvements!$B$5:$B$1004,$A130,Mouvements!$D$5:$D$1004,"Sortie"))</f>
        <v/>
      </c>
      <c r="K130" s="21" t="str">
        <f aca="false">IF($A130="","",N($G130)+$I130-$J130)</f>
        <v/>
      </c>
      <c r="L130" s="21" t="str">
        <f aca="false">IF($A130="","",$K130*N($E130))</f>
        <v/>
      </c>
      <c r="M130" s="22" t="str">
        <f aca="false">IF($A130="","",IF($K130&lt;=0,"Rupture",IF($K130&lt;=N($H130),"À commander","OK")))</f>
        <v/>
      </c>
      <c r="N130" s="23"/>
      <c r="O130" s="23"/>
      <c r="P130" s="21" t="str">
        <f aca="false">IF($A130="","",IF($K130&lt;=N($H130),MAX(0,2*N($H130)-$K130),0))</f>
        <v/>
      </c>
    </row>
    <row r="131" customFormat="false" ht="15" hidden="false" customHeight="false" outlineLevel="0" collapsed="false">
      <c r="A131" s="23"/>
      <c r="B131" s="23"/>
      <c r="C131" s="23"/>
      <c r="D131" s="23"/>
      <c r="E131" s="24"/>
      <c r="F131" s="24"/>
      <c r="G131" s="24"/>
      <c r="H131" s="24"/>
      <c r="I131" s="21" t="str">
        <f aca="false">IF($A131="","",SUMIFS(Mouvements!$E$5:$E$1004,Mouvements!$B$5:$B$1004,$A131,Mouvements!$D$5:$D$1004,"Entrée"))</f>
        <v/>
      </c>
      <c r="J131" s="21" t="str">
        <f aca="false">IF($A131="","",SUMIFS(Mouvements!$E$5:$E$1004,Mouvements!$B$5:$B$1004,$A131,Mouvements!$D$5:$D$1004,"Sortie"))</f>
        <v/>
      </c>
      <c r="K131" s="21" t="str">
        <f aca="false">IF($A131="","",N($G131)+$I131-$J131)</f>
        <v/>
      </c>
      <c r="L131" s="21" t="str">
        <f aca="false">IF($A131="","",$K131*N($E131))</f>
        <v/>
      </c>
      <c r="M131" s="22" t="str">
        <f aca="false">IF($A131="","",IF($K131&lt;=0,"Rupture",IF($K131&lt;=N($H131),"À commander","OK")))</f>
        <v/>
      </c>
      <c r="N131" s="23"/>
      <c r="O131" s="23"/>
      <c r="P131" s="21" t="str">
        <f aca="false">IF($A131="","",IF($K131&lt;=N($H131),MAX(0,2*N($H131)-$K131),0))</f>
        <v/>
      </c>
    </row>
    <row r="132" customFormat="false" ht="15" hidden="false" customHeight="false" outlineLevel="0" collapsed="false">
      <c r="A132" s="23"/>
      <c r="B132" s="23"/>
      <c r="C132" s="23"/>
      <c r="D132" s="23"/>
      <c r="E132" s="24"/>
      <c r="F132" s="24"/>
      <c r="G132" s="24"/>
      <c r="H132" s="24"/>
      <c r="I132" s="21" t="str">
        <f aca="false">IF($A132="","",SUMIFS(Mouvements!$E$5:$E$1004,Mouvements!$B$5:$B$1004,$A132,Mouvements!$D$5:$D$1004,"Entrée"))</f>
        <v/>
      </c>
      <c r="J132" s="21" t="str">
        <f aca="false">IF($A132="","",SUMIFS(Mouvements!$E$5:$E$1004,Mouvements!$B$5:$B$1004,$A132,Mouvements!$D$5:$D$1004,"Sortie"))</f>
        <v/>
      </c>
      <c r="K132" s="21" t="str">
        <f aca="false">IF($A132="","",N($G132)+$I132-$J132)</f>
        <v/>
      </c>
      <c r="L132" s="21" t="str">
        <f aca="false">IF($A132="","",$K132*N($E132))</f>
        <v/>
      </c>
      <c r="M132" s="22" t="str">
        <f aca="false">IF($A132="","",IF($K132&lt;=0,"Rupture",IF($K132&lt;=N($H132),"À commander","OK")))</f>
        <v/>
      </c>
      <c r="N132" s="23"/>
      <c r="O132" s="23"/>
      <c r="P132" s="21" t="str">
        <f aca="false">IF($A132="","",IF($K132&lt;=N($H132),MAX(0,2*N($H132)-$K132),0))</f>
        <v/>
      </c>
    </row>
    <row r="133" customFormat="false" ht="15" hidden="false" customHeight="false" outlineLevel="0" collapsed="false">
      <c r="A133" s="23"/>
      <c r="B133" s="23"/>
      <c r="C133" s="23"/>
      <c r="D133" s="23"/>
      <c r="E133" s="24"/>
      <c r="F133" s="24"/>
      <c r="G133" s="24"/>
      <c r="H133" s="24"/>
      <c r="I133" s="21" t="str">
        <f aca="false">IF($A133="","",SUMIFS(Mouvements!$E$5:$E$1004,Mouvements!$B$5:$B$1004,$A133,Mouvements!$D$5:$D$1004,"Entrée"))</f>
        <v/>
      </c>
      <c r="J133" s="21" t="str">
        <f aca="false">IF($A133="","",SUMIFS(Mouvements!$E$5:$E$1004,Mouvements!$B$5:$B$1004,$A133,Mouvements!$D$5:$D$1004,"Sortie"))</f>
        <v/>
      </c>
      <c r="K133" s="21" t="str">
        <f aca="false">IF($A133="","",N($G133)+$I133-$J133)</f>
        <v/>
      </c>
      <c r="L133" s="21" t="str">
        <f aca="false">IF($A133="","",$K133*N($E133))</f>
        <v/>
      </c>
      <c r="M133" s="22" t="str">
        <f aca="false">IF($A133="","",IF($K133&lt;=0,"Rupture",IF($K133&lt;=N($H133),"À commander","OK")))</f>
        <v/>
      </c>
      <c r="N133" s="23"/>
      <c r="O133" s="23"/>
      <c r="P133" s="21" t="str">
        <f aca="false">IF($A133="","",IF($K133&lt;=N($H133),MAX(0,2*N($H133)-$K133),0))</f>
        <v/>
      </c>
    </row>
    <row r="134" customFormat="false" ht="15" hidden="false" customHeight="false" outlineLevel="0" collapsed="false">
      <c r="A134" s="23"/>
      <c r="B134" s="23"/>
      <c r="C134" s="23"/>
      <c r="D134" s="23"/>
      <c r="E134" s="24"/>
      <c r="F134" s="24"/>
      <c r="G134" s="24"/>
      <c r="H134" s="24"/>
      <c r="I134" s="21" t="str">
        <f aca="false">IF($A134="","",SUMIFS(Mouvements!$E$5:$E$1004,Mouvements!$B$5:$B$1004,$A134,Mouvements!$D$5:$D$1004,"Entrée"))</f>
        <v/>
      </c>
      <c r="J134" s="21" t="str">
        <f aca="false">IF($A134="","",SUMIFS(Mouvements!$E$5:$E$1004,Mouvements!$B$5:$B$1004,$A134,Mouvements!$D$5:$D$1004,"Sortie"))</f>
        <v/>
      </c>
      <c r="K134" s="21" t="str">
        <f aca="false">IF($A134="","",N($G134)+$I134-$J134)</f>
        <v/>
      </c>
      <c r="L134" s="21" t="str">
        <f aca="false">IF($A134="","",$K134*N($E134))</f>
        <v/>
      </c>
      <c r="M134" s="22" t="str">
        <f aca="false">IF($A134="","",IF($K134&lt;=0,"Rupture",IF($K134&lt;=N($H134),"À commander","OK")))</f>
        <v/>
      </c>
      <c r="N134" s="23"/>
      <c r="O134" s="23"/>
      <c r="P134" s="21" t="str">
        <f aca="false">IF($A134="","",IF($K134&lt;=N($H134),MAX(0,2*N($H134)-$K134),0))</f>
        <v/>
      </c>
    </row>
    <row r="135" customFormat="false" ht="15" hidden="false" customHeight="false" outlineLevel="0" collapsed="false">
      <c r="A135" s="23"/>
      <c r="B135" s="23"/>
      <c r="C135" s="23"/>
      <c r="D135" s="23"/>
      <c r="E135" s="24"/>
      <c r="F135" s="24"/>
      <c r="G135" s="24"/>
      <c r="H135" s="24"/>
      <c r="I135" s="21" t="str">
        <f aca="false">IF($A135="","",SUMIFS(Mouvements!$E$5:$E$1004,Mouvements!$B$5:$B$1004,$A135,Mouvements!$D$5:$D$1004,"Entrée"))</f>
        <v/>
      </c>
      <c r="J135" s="21" t="str">
        <f aca="false">IF($A135="","",SUMIFS(Mouvements!$E$5:$E$1004,Mouvements!$B$5:$B$1004,$A135,Mouvements!$D$5:$D$1004,"Sortie"))</f>
        <v/>
      </c>
      <c r="K135" s="21" t="str">
        <f aca="false">IF($A135="","",N($G135)+$I135-$J135)</f>
        <v/>
      </c>
      <c r="L135" s="21" t="str">
        <f aca="false">IF($A135="","",$K135*N($E135))</f>
        <v/>
      </c>
      <c r="M135" s="22" t="str">
        <f aca="false">IF($A135="","",IF($K135&lt;=0,"Rupture",IF($K135&lt;=N($H135),"À commander","OK")))</f>
        <v/>
      </c>
      <c r="N135" s="23"/>
      <c r="O135" s="23"/>
      <c r="P135" s="21" t="str">
        <f aca="false">IF($A135="","",IF($K135&lt;=N($H135),MAX(0,2*N($H135)-$K135),0))</f>
        <v/>
      </c>
    </row>
    <row r="136" customFormat="false" ht="15" hidden="false" customHeight="false" outlineLevel="0" collapsed="false">
      <c r="A136" s="23"/>
      <c r="B136" s="23"/>
      <c r="C136" s="23"/>
      <c r="D136" s="23"/>
      <c r="E136" s="24"/>
      <c r="F136" s="24"/>
      <c r="G136" s="24"/>
      <c r="H136" s="24"/>
      <c r="I136" s="21" t="str">
        <f aca="false">IF($A136="","",SUMIFS(Mouvements!$E$5:$E$1004,Mouvements!$B$5:$B$1004,$A136,Mouvements!$D$5:$D$1004,"Entrée"))</f>
        <v/>
      </c>
      <c r="J136" s="21" t="str">
        <f aca="false">IF($A136="","",SUMIFS(Mouvements!$E$5:$E$1004,Mouvements!$B$5:$B$1004,$A136,Mouvements!$D$5:$D$1004,"Sortie"))</f>
        <v/>
      </c>
      <c r="K136" s="21" t="str">
        <f aca="false">IF($A136="","",N($G136)+$I136-$J136)</f>
        <v/>
      </c>
      <c r="L136" s="21" t="str">
        <f aca="false">IF($A136="","",$K136*N($E136))</f>
        <v/>
      </c>
      <c r="M136" s="22" t="str">
        <f aca="false">IF($A136="","",IF($K136&lt;=0,"Rupture",IF($K136&lt;=N($H136),"À commander","OK")))</f>
        <v/>
      </c>
      <c r="N136" s="23"/>
      <c r="O136" s="23"/>
      <c r="P136" s="21" t="str">
        <f aca="false">IF($A136="","",IF($K136&lt;=N($H136),MAX(0,2*N($H136)-$K136),0))</f>
        <v/>
      </c>
    </row>
    <row r="137" customFormat="false" ht="15" hidden="false" customHeight="false" outlineLevel="0" collapsed="false">
      <c r="A137" s="23"/>
      <c r="B137" s="23"/>
      <c r="C137" s="23"/>
      <c r="D137" s="23"/>
      <c r="E137" s="24"/>
      <c r="F137" s="24"/>
      <c r="G137" s="24"/>
      <c r="H137" s="24"/>
      <c r="I137" s="21" t="str">
        <f aca="false">IF($A137="","",SUMIFS(Mouvements!$E$5:$E$1004,Mouvements!$B$5:$B$1004,$A137,Mouvements!$D$5:$D$1004,"Entrée"))</f>
        <v/>
      </c>
      <c r="J137" s="21" t="str">
        <f aca="false">IF($A137="","",SUMIFS(Mouvements!$E$5:$E$1004,Mouvements!$B$5:$B$1004,$A137,Mouvements!$D$5:$D$1004,"Sortie"))</f>
        <v/>
      </c>
      <c r="K137" s="21" t="str">
        <f aca="false">IF($A137="","",N($G137)+$I137-$J137)</f>
        <v/>
      </c>
      <c r="L137" s="21" t="str">
        <f aca="false">IF($A137="","",$K137*N($E137))</f>
        <v/>
      </c>
      <c r="M137" s="22" t="str">
        <f aca="false">IF($A137="","",IF($K137&lt;=0,"Rupture",IF($K137&lt;=N($H137),"À commander","OK")))</f>
        <v/>
      </c>
      <c r="N137" s="23"/>
      <c r="O137" s="23"/>
      <c r="P137" s="21" t="str">
        <f aca="false">IF($A137="","",IF($K137&lt;=N($H137),MAX(0,2*N($H137)-$K137),0))</f>
        <v/>
      </c>
    </row>
    <row r="138" customFormat="false" ht="15" hidden="false" customHeight="false" outlineLevel="0" collapsed="false">
      <c r="A138" s="23"/>
      <c r="B138" s="23"/>
      <c r="C138" s="23"/>
      <c r="D138" s="23"/>
      <c r="E138" s="24"/>
      <c r="F138" s="24"/>
      <c r="G138" s="24"/>
      <c r="H138" s="24"/>
      <c r="I138" s="21" t="str">
        <f aca="false">IF($A138="","",SUMIFS(Mouvements!$E$5:$E$1004,Mouvements!$B$5:$B$1004,$A138,Mouvements!$D$5:$D$1004,"Entrée"))</f>
        <v/>
      </c>
      <c r="J138" s="21" t="str">
        <f aca="false">IF($A138="","",SUMIFS(Mouvements!$E$5:$E$1004,Mouvements!$B$5:$B$1004,$A138,Mouvements!$D$5:$D$1004,"Sortie"))</f>
        <v/>
      </c>
      <c r="K138" s="21" t="str">
        <f aca="false">IF($A138="","",N($G138)+$I138-$J138)</f>
        <v/>
      </c>
      <c r="L138" s="21" t="str">
        <f aca="false">IF($A138="","",$K138*N($E138))</f>
        <v/>
      </c>
      <c r="M138" s="22" t="str">
        <f aca="false">IF($A138="","",IF($K138&lt;=0,"Rupture",IF($K138&lt;=N($H138),"À commander","OK")))</f>
        <v/>
      </c>
      <c r="N138" s="23"/>
      <c r="O138" s="23"/>
      <c r="P138" s="21" t="str">
        <f aca="false">IF($A138="","",IF($K138&lt;=N($H138),MAX(0,2*N($H138)-$K138),0))</f>
        <v/>
      </c>
    </row>
    <row r="139" customFormat="false" ht="15" hidden="false" customHeight="false" outlineLevel="0" collapsed="false">
      <c r="A139" s="23"/>
      <c r="B139" s="23"/>
      <c r="C139" s="23"/>
      <c r="D139" s="23"/>
      <c r="E139" s="24"/>
      <c r="F139" s="24"/>
      <c r="G139" s="24"/>
      <c r="H139" s="24"/>
      <c r="I139" s="21" t="str">
        <f aca="false">IF($A139="","",SUMIFS(Mouvements!$E$5:$E$1004,Mouvements!$B$5:$B$1004,$A139,Mouvements!$D$5:$D$1004,"Entrée"))</f>
        <v/>
      </c>
      <c r="J139" s="21" t="str">
        <f aca="false">IF($A139="","",SUMIFS(Mouvements!$E$5:$E$1004,Mouvements!$B$5:$B$1004,$A139,Mouvements!$D$5:$D$1004,"Sortie"))</f>
        <v/>
      </c>
      <c r="K139" s="21" t="str">
        <f aca="false">IF($A139="","",N($G139)+$I139-$J139)</f>
        <v/>
      </c>
      <c r="L139" s="21" t="str">
        <f aca="false">IF($A139="","",$K139*N($E139))</f>
        <v/>
      </c>
      <c r="M139" s="22" t="str">
        <f aca="false">IF($A139="","",IF($K139&lt;=0,"Rupture",IF($K139&lt;=N($H139),"À commander","OK")))</f>
        <v/>
      </c>
      <c r="N139" s="23"/>
      <c r="O139" s="23"/>
      <c r="P139" s="21" t="str">
        <f aca="false">IF($A139="","",IF($K139&lt;=N($H139),MAX(0,2*N($H139)-$K139),0))</f>
        <v/>
      </c>
    </row>
    <row r="140" customFormat="false" ht="15" hidden="false" customHeight="false" outlineLevel="0" collapsed="false">
      <c r="A140" s="23"/>
      <c r="B140" s="23"/>
      <c r="C140" s="23"/>
      <c r="D140" s="23"/>
      <c r="E140" s="24"/>
      <c r="F140" s="24"/>
      <c r="G140" s="24"/>
      <c r="H140" s="24"/>
      <c r="I140" s="21" t="str">
        <f aca="false">IF($A140="","",SUMIFS(Mouvements!$E$5:$E$1004,Mouvements!$B$5:$B$1004,$A140,Mouvements!$D$5:$D$1004,"Entrée"))</f>
        <v/>
      </c>
      <c r="J140" s="21" t="str">
        <f aca="false">IF($A140="","",SUMIFS(Mouvements!$E$5:$E$1004,Mouvements!$B$5:$B$1004,$A140,Mouvements!$D$5:$D$1004,"Sortie"))</f>
        <v/>
      </c>
      <c r="K140" s="21" t="str">
        <f aca="false">IF($A140="","",N($G140)+$I140-$J140)</f>
        <v/>
      </c>
      <c r="L140" s="21" t="str">
        <f aca="false">IF($A140="","",$K140*N($E140))</f>
        <v/>
      </c>
      <c r="M140" s="22" t="str">
        <f aca="false">IF($A140="","",IF($K140&lt;=0,"Rupture",IF($K140&lt;=N($H140),"À commander","OK")))</f>
        <v/>
      </c>
      <c r="N140" s="23"/>
      <c r="O140" s="23"/>
      <c r="P140" s="21" t="str">
        <f aca="false">IF($A140="","",IF($K140&lt;=N($H140),MAX(0,2*N($H140)-$K140),0))</f>
        <v/>
      </c>
    </row>
    <row r="141" customFormat="false" ht="15" hidden="false" customHeight="false" outlineLevel="0" collapsed="false">
      <c r="A141" s="23"/>
      <c r="B141" s="23"/>
      <c r="C141" s="23"/>
      <c r="D141" s="23"/>
      <c r="E141" s="24"/>
      <c r="F141" s="24"/>
      <c r="G141" s="24"/>
      <c r="H141" s="24"/>
      <c r="I141" s="21" t="str">
        <f aca="false">IF($A141="","",SUMIFS(Mouvements!$E$5:$E$1004,Mouvements!$B$5:$B$1004,$A141,Mouvements!$D$5:$D$1004,"Entrée"))</f>
        <v/>
      </c>
      <c r="J141" s="21" t="str">
        <f aca="false">IF($A141="","",SUMIFS(Mouvements!$E$5:$E$1004,Mouvements!$B$5:$B$1004,$A141,Mouvements!$D$5:$D$1004,"Sortie"))</f>
        <v/>
      </c>
      <c r="K141" s="21" t="str">
        <f aca="false">IF($A141="","",N($G141)+$I141-$J141)</f>
        <v/>
      </c>
      <c r="L141" s="21" t="str">
        <f aca="false">IF($A141="","",$K141*N($E141))</f>
        <v/>
      </c>
      <c r="M141" s="22" t="str">
        <f aca="false">IF($A141="","",IF($K141&lt;=0,"Rupture",IF($K141&lt;=N($H141),"À commander","OK")))</f>
        <v/>
      </c>
      <c r="N141" s="23"/>
      <c r="O141" s="23"/>
      <c r="P141" s="21" t="str">
        <f aca="false">IF($A141="","",IF($K141&lt;=N($H141),MAX(0,2*N($H141)-$K141),0))</f>
        <v/>
      </c>
    </row>
    <row r="142" customFormat="false" ht="15" hidden="false" customHeight="false" outlineLevel="0" collapsed="false">
      <c r="A142" s="23"/>
      <c r="B142" s="23"/>
      <c r="C142" s="23"/>
      <c r="D142" s="23"/>
      <c r="E142" s="24"/>
      <c r="F142" s="24"/>
      <c r="G142" s="24"/>
      <c r="H142" s="24"/>
      <c r="I142" s="21" t="str">
        <f aca="false">IF($A142="","",SUMIFS(Mouvements!$E$5:$E$1004,Mouvements!$B$5:$B$1004,$A142,Mouvements!$D$5:$D$1004,"Entrée"))</f>
        <v/>
      </c>
      <c r="J142" s="21" t="str">
        <f aca="false">IF($A142="","",SUMIFS(Mouvements!$E$5:$E$1004,Mouvements!$B$5:$B$1004,$A142,Mouvements!$D$5:$D$1004,"Sortie"))</f>
        <v/>
      </c>
      <c r="K142" s="21" t="str">
        <f aca="false">IF($A142="","",N($G142)+$I142-$J142)</f>
        <v/>
      </c>
      <c r="L142" s="21" t="str">
        <f aca="false">IF($A142="","",$K142*N($E142))</f>
        <v/>
      </c>
      <c r="M142" s="22" t="str">
        <f aca="false">IF($A142="","",IF($K142&lt;=0,"Rupture",IF($K142&lt;=N($H142),"À commander","OK")))</f>
        <v/>
      </c>
      <c r="N142" s="23"/>
      <c r="O142" s="23"/>
      <c r="P142" s="21" t="str">
        <f aca="false">IF($A142="","",IF($K142&lt;=N($H142),MAX(0,2*N($H142)-$K142),0))</f>
        <v/>
      </c>
    </row>
    <row r="143" customFormat="false" ht="15" hidden="false" customHeight="false" outlineLevel="0" collapsed="false">
      <c r="A143" s="23"/>
      <c r="B143" s="23"/>
      <c r="C143" s="23"/>
      <c r="D143" s="23"/>
      <c r="E143" s="24"/>
      <c r="F143" s="24"/>
      <c r="G143" s="24"/>
      <c r="H143" s="24"/>
      <c r="I143" s="21" t="str">
        <f aca="false">IF($A143="","",SUMIFS(Mouvements!$E$5:$E$1004,Mouvements!$B$5:$B$1004,$A143,Mouvements!$D$5:$D$1004,"Entrée"))</f>
        <v/>
      </c>
      <c r="J143" s="21" t="str">
        <f aca="false">IF($A143="","",SUMIFS(Mouvements!$E$5:$E$1004,Mouvements!$B$5:$B$1004,$A143,Mouvements!$D$5:$D$1004,"Sortie"))</f>
        <v/>
      </c>
      <c r="K143" s="21" t="str">
        <f aca="false">IF($A143="","",N($G143)+$I143-$J143)</f>
        <v/>
      </c>
      <c r="L143" s="21" t="str">
        <f aca="false">IF($A143="","",$K143*N($E143))</f>
        <v/>
      </c>
      <c r="M143" s="22" t="str">
        <f aca="false">IF($A143="","",IF($K143&lt;=0,"Rupture",IF($K143&lt;=N($H143),"À commander","OK")))</f>
        <v/>
      </c>
      <c r="N143" s="23"/>
      <c r="O143" s="23"/>
      <c r="P143" s="21" t="str">
        <f aca="false">IF($A143="","",IF($K143&lt;=N($H143),MAX(0,2*N($H143)-$K143),0))</f>
        <v/>
      </c>
    </row>
    <row r="144" customFormat="false" ht="15" hidden="false" customHeight="false" outlineLevel="0" collapsed="false">
      <c r="A144" s="23"/>
      <c r="B144" s="23"/>
      <c r="C144" s="23"/>
      <c r="D144" s="23"/>
      <c r="E144" s="24"/>
      <c r="F144" s="24"/>
      <c r="G144" s="24"/>
      <c r="H144" s="24"/>
      <c r="I144" s="21" t="str">
        <f aca="false">IF($A144="","",SUMIFS(Mouvements!$E$5:$E$1004,Mouvements!$B$5:$B$1004,$A144,Mouvements!$D$5:$D$1004,"Entrée"))</f>
        <v/>
      </c>
      <c r="J144" s="21" t="str">
        <f aca="false">IF($A144="","",SUMIFS(Mouvements!$E$5:$E$1004,Mouvements!$B$5:$B$1004,$A144,Mouvements!$D$5:$D$1004,"Sortie"))</f>
        <v/>
      </c>
      <c r="K144" s="21" t="str">
        <f aca="false">IF($A144="","",N($G144)+$I144-$J144)</f>
        <v/>
      </c>
      <c r="L144" s="21" t="str">
        <f aca="false">IF($A144="","",$K144*N($E144))</f>
        <v/>
      </c>
      <c r="M144" s="22" t="str">
        <f aca="false">IF($A144="","",IF($K144&lt;=0,"Rupture",IF($K144&lt;=N($H144),"À commander","OK")))</f>
        <v/>
      </c>
      <c r="N144" s="23"/>
      <c r="O144" s="23"/>
      <c r="P144" s="21" t="str">
        <f aca="false">IF($A144="","",IF($K144&lt;=N($H144),MAX(0,2*N($H144)-$K144),0))</f>
        <v/>
      </c>
    </row>
    <row r="145" customFormat="false" ht="15" hidden="false" customHeight="false" outlineLevel="0" collapsed="false">
      <c r="A145" s="23"/>
      <c r="B145" s="23"/>
      <c r="C145" s="23"/>
      <c r="D145" s="23"/>
      <c r="E145" s="24"/>
      <c r="F145" s="24"/>
      <c r="G145" s="24"/>
      <c r="H145" s="24"/>
      <c r="I145" s="21" t="str">
        <f aca="false">IF($A145="","",SUMIFS(Mouvements!$E$5:$E$1004,Mouvements!$B$5:$B$1004,$A145,Mouvements!$D$5:$D$1004,"Entrée"))</f>
        <v/>
      </c>
      <c r="J145" s="21" t="str">
        <f aca="false">IF($A145="","",SUMIFS(Mouvements!$E$5:$E$1004,Mouvements!$B$5:$B$1004,$A145,Mouvements!$D$5:$D$1004,"Sortie"))</f>
        <v/>
      </c>
      <c r="K145" s="21" t="str">
        <f aca="false">IF($A145="","",N($G145)+$I145-$J145)</f>
        <v/>
      </c>
      <c r="L145" s="21" t="str">
        <f aca="false">IF($A145="","",$K145*N($E145))</f>
        <v/>
      </c>
      <c r="M145" s="22" t="str">
        <f aca="false">IF($A145="","",IF($K145&lt;=0,"Rupture",IF($K145&lt;=N($H145),"À commander","OK")))</f>
        <v/>
      </c>
      <c r="N145" s="23"/>
      <c r="O145" s="23"/>
      <c r="P145" s="21" t="str">
        <f aca="false">IF($A145="","",IF($K145&lt;=N($H145),MAX(0,2*N($H145)-$K145),0))</f>
        <v/>
      </c>
    </row>
    <row r="146" customFormat="false" ht="15" hidden="false" customHeight="false" outlineLevel="0" collapsed="false">
      <c r="A146" s="23"/>
      <c r="B146" s="23"/>
      <c r="C146" s="23"/>
      <c r="D146" s="23"/>
      <c r="E146" s="24"/>
      <c r="F146" s="24"/>
      <c r="G146" s="24"/>
      <c r="H146" s="24"/>
      <c r="I146" s="21" t="str">
        <f aca="false">IF($A146="","",SUMIFS(Mouvements!$E$5:$E$1004,Mouvements!$B$5:$B$1004,$A146,Mouvements!$D$5:$D$1004,"Entrée"))</f>
        <v/>
      </c>
      <c r="J146" s="21" t="str">
        <f aca="false">IF($A146="","",SUMIFS(Mouvements!$E$5:$E$1004,Mouvements!$B$5:$B$1004,$A146,Mouvements!$D$5:$D$1004,"Sortie"))</f>
        <v/>
      </c>
      <c r="K146" s="21" t="str">
        <f aca="false">IF($A146="","",N($G146)+$I146-$J146)</f>
        <v/>
      </c>
      <c r="L146" s="21" t="str">
        <f aca="false">IF($A146="","",$K146*N($E146))</f>
        <v/>
      </c>
      <c r="M146" s="22" t="str">
        <f aca="false">IF($A146="","",IF($K146&lt;=0,"Rupture",IF($K146&lt;=N($H146),"À commander","OK")))</f>
        <v/>
      </c>
      <c r="N146" s="23"/>
      <c r="O146" s="23"/>
      <c r="P146" s="21" t="str">
        <f aca="false">IF($A146="","",IF($K146&lt;=N($H146),MAX(0,2*N($H146)-$K146),0))</f>
        <v/>
      </c>
    </row>
    <row r="147" customFormat="false" ht="15" hidden="false" customHeight="false" outlineLevel="0" collapsed="false">
      <c r="A147" s="23"/>
      <c r="B147" s="23"/>
      <c r="C147" s="23"/>
      <c r="D147" s="23"/>
      <c r="E147" s="24"/>
      <c r="F147" s="24"/>
      <c r="G147" s="24"/>
      <c r="H147" s="24"/>
      <c r="I147" s="21" t="str">
        <f aca="false">IF($A147="","",SUMIFS(Mouvements!$E$5:$E$1004,Mouvements!$B$5:$B$1004,$A147,Mouvements!$D$5:$D$1004,"Entrée"))</f>
        <v/>
      </c>
      <c r="J147" s="21" t="str">
        <f aca="false">IF($A147="","",SUMIFS(Mouvements!$E$5:$E$1004,Mouvements!$B$5:$B$1004,$A147,Mouvements!$D$5:$D$1004,"Sortie"))</f>
        <v/>
      </c>
      <c r="K147" s="21" t="str">
        <f aca="false">IF($A147="","",N($G147)+$I147-$J147)</f>
        <v/>
      </c>
      <c r="L147" s="21" t="str">
        <f aca="false">IF($A147="","",$K147*N($E147))</f>
        <v/>
      </c>
      <c r="M147" s="22" t="str">
        <f aca="false">IF($A147="","",IF($K147&lt;=0,"Rupture",IF($K147&lt;=N($H147),"À commander","OK")))</f>
        <v/>
      </c>
      <c r="N147" s="23"/>
      <c r="O147" s="23"/>
      <c r="P147" s="21" t="str">
        <f aca="false">IF($A147="","",IF($K147&lt;=N($H147),MAX(0,2*N($H147)-$K147),0))</f>
        <v/>
      </c>
    </row>
    <row r="148" customFormat="false" ht="15" hidden="false" customHeight="false" outlineLevel="0" collapsed="false">
      <c r="A148" s="23"/>
      <c r="B148" s="23"/>
      <c r="C148" s="23"/>
      <c r="D148" s="23"/>
      <c r="E148" s="24"/>
      <c r="F148" s="24"/>
      <c r="G148" s="24"/>
      <c r="H148" s="24"/>
      <c r="I148" s="21" t="str">
        <f aca="false">IF($A148="","",SUMIFS(Mouvements!$E$5:$E$1004,Mouvements!$B$5:$B$1004,$A148,Mouvements!$D$5:$D$1004,"Entrée"))</f>
        <v/>
      </c>
      <c r="J148" s="21" t="str">
        <f aca="false">IF($A148="","",SUMIFS(Mouvements!$E$5:$E$1004,Mouvements!$B$5:$B$1004,$A148,Mouvements!$D$5:$D$1004,"Sortie"))</f>
        <v/>
      </c>
      <c r="K148" s="21" t="str">
        <f aca="false">IF($A148="","",N($G148)+$I148-$J148)</f>
        <v/>
      </c>
      <c r="L148" s="21" t="str">
        <f aca="false">IF($A148="","",$K148*N($E148))</f>
        <v/>
      </c>
      <c r="M148" s="22" t="str">
        <f aca="false">IF($A148="","",IF($K148&lt;=0,"Rupture",IF($K148&lt;=N($H148),"À commander","OK")))</f>
        <v/>
      </c>
      <c r="N148" s="23"/>
      <c r="O148" s="23"/>
      <c r="P148" s="21" t="str">
        <f aca="false">IF($A148="","",IF($K148&lt;=N($H148),MAX(0,2*N($H148)-$K148),0))</f>
        <v/>
      </c>
    </row>
    <row r="149" customFormat="false" ht="15" hidden="false" customHeight="false" outlineLevel="0" collapsed="false">
      <c r="A149" s="23"/>
      <c r="B149" s="23"/>
      <c r="C149" s="23"/>
      <c r="D149" s="23"/>
      <c r="E149" s="24"/>
      <c r="F149" s="24"/>
      <c r="G149" s="24"/>
      <c r="H149" s="24"/>
      <c r="I149" s="21" t="str">
        <f aca="false">IF($A149="","",SUMIFS(Mouvements!$E$5:$E$1004,Mouvements!$B$5:$B$1004,$A149,Mouvements!$D$5:$D$1004,"Entrée"))</f>
        <v/>
      </c>
      <c r="J149" s="21" t="str">
        <f aca="false">IF($A149="","",SUMIFS(Mouvements!$E$5:$E$1004,Mouvements!$B$5:$B$1004,$A149,Mouvements!$D$5:$D$1004,"Sortie"))</f>
        <v/>
      </c>
      <c r="K149" s="21" t="str">
        <f aca="false">IF($A149="","",N($G149)+$I149-$J149)</f>
        <v/>
      </c>
      <c r="L149" s="21" t="str">
        <f aca="false">IF($A149="","",$K149*N($E149))</f>
        <v/>
      </c>
      <c r="M149" s="22" t="str">
        <f aca="false">IF($A149="","",IF($K149&lt;=0,"Rupture",IF($K149&lt;=N($H149),"À commander","OK")))</f>
        <v/>
      </c>
      <c r="N149" s="23"/>
      <c r="O149" s="23"/>
      <c r="P149" s="21" t="str">
        <f aca="false">IF($A149="","",IF($K149&lt;=N($H149),MAX(0,2*N($H149)-$K149),0))</f>
        <v/>
      </c>
    </row>
    <row r="150" customFormat="false" ht="15" hidden="false" customHeight="false" outlineLevel="0" collapsed="false">
      <c r="A150" s="23"/>
      <c r="B150" s="23"/>
      <c r="C150" s="23"/>
      <c r="D150" s="23"/>
      <c r="E150" s="24"/>
      <c r="F150" s="24"/>
      <c r="G150" s="24"/>
      <c r="H150" s="24"/>
      <c r="I150" s="21" t="str">
        <f aca="false">IF($A150="","",SUMIFS(Mouvements!$E$5:$E$1004,Mouvements!$B$5:$B$1004,$A150,Mouvements!$D$5:$D$1004,"Entrée"))</f>
        <v/>
      </c>
      <c r="J150" s="21" t="str">
        <f aca="false">IF($A150="","",SUMIFS(Mouvements!$E$5:$E$1004,Mouvements!$B$5:$B$1004,$A150,Mouvements!$D$5:$D$1004,"Sortie"))</f>
        <v/>
      </c>
      <c r="K150" s="21" t="str">
        <f aca="false">IF($A150="","",N($G150)+$I150-$J150)</f>
        <v/>
      </c>
      <c r="L150" s="21" t="str">
        <f aca="false">IF($A150="","",$K150*N($E150))</f>
        <v/>
      </c>
      <c r="M150" s="22" t="str">
        <f aca="false">IF($A150="","",IF($K150&lt;=0,"Rupture",IF($K150&lt;=N($H150),"À commander","OK")))</f>
        <v/>
      </c>
      <c r="N150" s="23"/>
      <c r="O150" s="23"/>
      <c r="P150" s="21" t="str">
        <f aca="false">IF($A150="","",IF($K150&lt;=N($H150),MAX(0,2*N($H150)-$K150),0))</f>
        <v/>
      </c>
    </row>
    <row r="151" customFormat="false" ht="15" hidden="false" customHeight="false" outlineLevel="0" collapsed="false">
      <c r="A151" s="23"/>
      <c r="B151" s="23"/>
      <c r="C151" s="23"/>
      <c r="D151" s="23"/>
      <c r="E151" s="24"/>
      <c r="F151" s="24"/>
      <c r="G151" s="24"/>
      <c r="H151" s="24"/>
      <c r="I151" s="21" t="str">
        <f aca="false">IF($A151="","",SUMIFS(Mouvements!$E$5:$E$1004,Mouvements!$B$5:$B$1004,$A151,Mouvements!$D$5:$D$1004,"Entrée"))</f>
        <v/>
      </c>
      <c r="J151" s="21" t="str">
        <f aca="false">IF($A151="","",SUMIFS(Mouvements!$E$5:$E$1004,Mouvements!$B$5:$B$1004,$A151,Mouvements!$D$5:$D$1004,"Sortie"))</f>
        <v/>
      </c>
      <c r="K151" s="21" t="str">
        <f aca="false">IF($A151="","",N($G151)+$I151-$J151)</f>
        <v/>
      </c>
      <c r="L151" s="21" t="str">
        <f aca="false">IF($A151="","",$K151*N($E151))</f>
        <v/>
      </c>
      <c r="M151" s="22" t="str">
        <f aca="false">IF($A151="","",IF($K151&lt;=0,"Rupture",IF($K151&lt;=N($H151),"À commander","OK")))</f>
        <v/>
      </c>
      <c r="N151" s="23"/>
      <c r="O151" s="23"/>
      <c r="P151" s="21" t="str">
        <f aca="false">IF($A151="","",IF($K151&lt;=N($H151),MAX(0,2*N($H151)-$K151),0))</f>
        <v/>
      </c>
    </row>
    <row r="152" customFormat="false" ht="15" hidden="false" customHeight="false" outlineLevel="0" collapsed="false">
      <c r="A152" s="23"/>
      <c r="B152" s="23"/>
      <c r="C152" s="23"/>
      <c r="D152" s="23"/>
      <c r="E152" s="24"/>
      <c r="F152" s="24"/>
      <c r="G152" s="24"/>
      <c r="H152" s="24"/>
      <c r="I152" s="21" t="str">
        <f aca="false">IF($A152="","",SUMIFS(Mouvements!$E$5:$E$1004,Mouvements!$B$5:$B$1004,$A152,Mouvements!$D$5:$D$1004,"Entrée"))</f>
        <v/>
      </c>
      <c r="J152" s="21" t="str">
        <f aca="false">IF($A152="","",SUMIFS(Mouvements!$E$5:$E$1004,Mouvements!$B$5:$B$1004,$A152,Mouvements!$D$5:$D$1004,"Sortie"))</f>
        <v/>
      </c>
      <c r="K152" s="21" t="str">
        <f aca="false">IF($A152="","",N($G152)+$I152-$J152)</f>
        <v/>
      </c>
      <c r="L152" s="21" t="str">
        <f aca="false">IF($A152="","",$K152*N($E152))</f>
        <v/>
      </c>
      <c r="M152" s="22" t="str">
        <f aca="false">IF($A152="","",IF($K152&lt;=0,"Rupture",IF($K152&lt;=N($H152),"À commander","OK")))</f>
        <v/>
      </c>
      <c r="N152" s="23"/>
      <c r="O152" s="23"/>
      <c r="P152" s="21" t="str">
        <f aca="false">IF($A152="","",IF($K152&lt;=N($H152),MAX(0,2*N($H152)-$K152),0))</f>
        <v/>
      </c>
    </row>
    <row r="153" customFormat="false" ht="15" hidden="false" customHeight="false" outlineLevel="0" collapsed="false">
      <c r="A153" s="23"/>
      <c r="B153" s="23"/>
      <c r="C153" s="23"/>
      <c r="D153" s="23"/>
      <c r="E153" s="24"/>
      <c r="F153" s="24"/>
      <c r="G153" s="24"/>
      <c r="H153" s="24"/>
      <c r="I153" s="21" t="str">
        <f aca="false">IF($A153="","",SUMIFS(Mouvements!$E$5:$E$1004,Mouvements!$B$5:$B$1004,$A153,Mouvements!$D$5:$D$1004,"Entrée"))</f>
        <v/>
      </c>
      <c r="J153" s="21" t="str">
        <f aca="false">IF($A153="","",SUMIFS(Mouvements!$E$5:$E$1004,Mouvements!$B$5:$B$1004,$A153,Mouvements!$D$5:$D$1004,"Sortie"))</f>
        <v/>
      </c>
      <c r="K153" s="21" t="str">
        <f aca="false">IF($A153="","",N($G153)+$I153-$J153)</f>
        <v/>
      </c>
      <c r="L153" s="21" t="str">
        <f aca="false">IF($A153="","",$K153*N($E153))</f>
        <v/>
      </c>
      <c r="M153" s="22" t="str">
        <f aca="false">IF($A153="","",IF($K153&lt;=0,"Rupture",IF($K153&lt;=N($H153),"À commander","OK")))</f>
        <v/>
      </c>
      <c r="N153" s="23"/>
      <c r="O153" s="23"/>
      <c r="P153" s="21" t="str">
        <f aca="false">IF($A153="","",IF($K153&lt;=N($H153),MAX(0,2*N($H153)-$K153),0))</f>
        <v/>
      </c>
    </row>
    <row r="154" customFormat="false" ht="15" hidden="false" customHeight="false" outlineLevel="0" collapsed="false">
      <c r="A154" s="23"/>
      <c r="B154" s="23"/>
      <c r="C154" s="23"/>
      <c r="D154" s="23"/>
      <c r="E154" s="24"/>
      <c r="F154" s="24"/>
      <c r="G154" s="24"/>
      <c r="H154" s="24"/>
      <c r="I154" s="21" t="str">
        <f aca="false">IF($A154="","",SUMIFS(Mouvements!$E$5:$E$1004,Mouvements!$B$5:$B$1004,$A154,Mouvements!$D$5:$D$1004,"Entrée"))</f>
        <v/>
      </c>
      <c r="J154" s="21" t="str">
        <f aca="false">IF($A154="","",SUMIFS(Mouvements!$E$5:$E$1004,Mouvements!$B$5:$B$1004,$A154,Mouvements!$D$5:$D$1004,"Sortie"))</f>
        <v/>
      </c>
      <c r="K154" s="21" t="str">
        <f aca="false">IF($A154="","",N($G154)+$I154-$J154)</f>
        <v/>
      </c>
      <c r="L154" s="21" t="str">
        <f aca="false">IF($A154="","",$K154*N($E154))</f>
        <v/>
      </c>
      <c r="M154" s="22" t="str">
        <f aca="false">IF($A154="","",IF($K154&lt;=0,"Rupture",IF($K154&lt;=N($H154),"À commander","OK")))</f>
        <v/>
      </c>
      <c r="N154" s="23"/>
      <c r="O154" s="23"/>
      <c r="P154" s="21" t="str">
        <f aca="false">IF($A154="","",IF($K154&lt;=N($H154),MAX(0,2*N($H154)-$K154),0))</f>
        <v/>
      </c>
    </row>
    <row r="155" customFormat="false" ht="15" hidden="false" customHeight="false" outlineLevel="0" collapsed="false">
      <c r="A155" s="23"/>
      <c r="B155" s="23"/>
      <c r="C155" s="23"/>
      <c r="D155" s="23"/>
      <c r="E155" s="24"/>
      <c r="F155" s="24"/>
      <c r="G155" s="24"/>
      <c r="H155" s="24"/>
      <c r="I155" s="21" t="str">
        <f aca="false">IF($A155="","",SUMIFS(Mouvements!$E$5:$E$1004,Mouvements!$B$5:$B$1004,$A155,Mouvements!$D$5:$D$1004,"Entrée"))</f>
        <v/>
      </c>
      <c r="J155" s="21" t="str">
        <f aca="false">IF($A155="","",SUMIFS(Mouvements!$E$5:$E$1004,Mouvements!$B$5:$B$1004,$A155,Mouvements!$D$5:$D$1004,"Sortie"))</f>
        <v/>
      </c>
      <c r="K155" s="21" t="str">
        <f aca="false">IF($A155="","",N($G155)+$I155-$J155)</f>
        <v/>
      </c>
      <c r="L155" s="21" t="str">
        <f aca="false">IF($A155="","",$K155*N($E155))</f>
        <v/>
      </c>
      <c r="M155" s="22" t="str">
        <f aca="false">IF($A155="","",IF($K155&lt;=0,"Rupture",IF($K155&lt;=N($H155),"À commander","OK")))</f>
        <v/>
      </c>
      <c r="N155" s="23"/>
      <c r="O155" s="23"/>
      <c r="P155" s="21" t="str">
        <f aca="false">IF($A155="","",IF($K155&lt;=N($H155),MAX(0,2*N($H155)-$K155),0))</f>
        <v/>
      </c>
    </row>
    <row r="156" customFormat="false" ht="15" hidden="false" customHeight="false" outlineLevel="0" collapsed="false">
      <c r="A156" s="23"/>
      <c r="B156" s="23"/>
      <c r="C156" s="23"/>
      <c r="D156" s="23"/>
      <c r="E156" s="24"/>
      <c r="F156" s="24"/>
      <c r="G156" s="24"/>
      <c r="H156" s="24"/>
      <c r="I156" s="21" t="str">
        <f aca="false">IF($A156="","",SUMIFS(Mouvements!$E$5:$E$1004,Mouvements!$B$5:$B$1004,$A156,Mouvements!$D$5:$D$1004,"Entrée"))</f>
        <v/>
      </c>
      <c r="J156" s="21" t="str">
        <f aca="false">IF($A156="","",SUMIFS(Mouvements!$E$5:$E$1004,Mouvements!$B$5:$B$1004,$A156,Mouvements!$D$5:$D$1004,"Sortie"))</f>
        <v/>
      </c>
      <c r="K156" s="21" t="str">
        <f aca="false">IF($A156="","",N($G156)+$I156-$J156)</f>
        <v/>
      </c>
      <c r="L156" s="21" t="str">
        <f aca="false">IF($A156="","",$K156*N($E156))</f>
        <v/>
      </c>
      <c r="M156" s="22" t="str">
        <f aca="false">IF($A156="","",IF($K156&lt;=0,"Rupture",IF($K156&lt;=N($H156),"À commander","OK")))</f>
        <v/>
      </c>
      <c r="N156" s="23"/>
      <c r="O156" s="23"/>
      <c r="P156" s="21" t="str">
        <f aca="false">IF($A156="","",IF($K156&lt;=N($H156),MAX(0,2*N($H156)-$K156),0))</f>
        <v/>
      </c>
    </row>
    <row r="157" customFormat="false" ht="15" hidden="false" customHeight="false" outlineLevel="0" collapsed="false">
      <c r="A157" s="23"/>
      <c r="B157" s="23"/>
      <c r="C157" s="23"/>
      <c r="D157" s="23"/>
      <c r="E157" s="24"/>
      <c r="F157" s="24"/>
      <c r="G157" s="24"/>
      <c r="H157" s="24"/>
      <c r="I157" s="21" t="str">
        <f aca="false">IF($A157="","",SUMIFS(Mouvements!$E$5:$E$1004,Mouvements!$B$5:$B$1004,$A157,Mouvements!$D$5:$D$1004,"Entrée"))</f>
        <v/>
      </c>
      <c r="J157" s="21" t="str">
        <f aca="false">IF($A157="","",SUMIFS(Mouvements!$E$5:$E$1004,Mouvements!$B$5:$B$1004,$A157,Mouvements!$D$5:$D$1004,"Sortie"))</f>
        <v/>
      </c>
      <c r="K157" s="21" t="str">
        <f aca="false">IF($A157="","",N($G157)+$I157-$J157)</f>
        <v/>
      </c>
      <c r="L157" s="21" t="str">
        <f aca="false">IF($A157="","",$K157*N($E157))</f>
        <v/>
      </c>
      <c r="M157" s="22" t="str">
        <f aca="false">IF($A157="","",IF($K157&lt;=0,"Rupture",IF($K157&lt;=N($H157),"À commander","OK")))</f>
        <v/>
      </c>
      <c r="N157" s="23"/>
      <c r="O157" s="23"/>
      <c r="P157" s="21" t="str">
        <f aca="false">IF($A157="","",IF($K157&lt;=N($H157),MAX(0,2*N($H157)-$K157),0))</f>
        <v/>
      </c>
    </row>
    <row r="158" customFormat="false" ht="15" hidden="false" customHeight="false" outlineLevel="0" collapsed="false">
      <c r="A158" s="23"/>
      <c r="B158" s="23"/>
      <c r="C158" s="23"/>
      <c r="D158" s="23"/>
      <c r="E158" s="24"/>
      <c r="F158" s="24"/>
      <c r="G158" s="24"/>
      <c r="H158" s="24"/>
      <c r="I158" s="21" t="str">
        <f aca="false">IF($A158="","",SUMIFS(Mouvements!$E$5:$E$1004,Mouvements!$B$5:$B$1004,$A158,Mouvements!$D$5:$D$1004,"Entrée"))</f>
        <v/>
      </c>
      <c r="J158" s="21" t="str">
        <f aca="false">IF($A158="","",SUMIFS(Mouvements!$E$5:$E$1004,Mouvements!$B$5:$B$1004,$A158,Mouvements!$D$5:$D$1004,"Sortie"))</f>
        <v/>
      </c>
      <c r="K158" s="21" t="str">
        <f aca="false">IF($A158="","",N($G158)+$I158-$J158)</f>
        <v/>
      </c>
      <c r="L158" s="21" t="str">
        <f aca="false">IF($A158="","",$K158*N($E158))</f>
        <v/>
      </c>
      <c r="M158" s="22" t="str">
        <f aca="false">IF($A158="","",IF($K158&lt;=0,"Rupture",IF($K158&lt;=N($H158),"À commander","OK")))</f>
        <v/>
      </c>
      <c r="N158" s="23"/>
      <c r="O158" s="23"/>
      <c r="P158" s="21" t="str">
        <f aca="false">IF($A158="","",IF($K158&lt;=N($H158),MAX(0,2*N($H158)-$K158),0))</f>
        <v/>
      </c>
    </row>
    <row r="159" customFormat="false" ht="15" hidden="false" customHeight="false" outlineLevel="0" collapsed="false">
      <c r="A159" s="23"/>
      <c r="B159" s="23"/>
      <c r="C159" s="23"/>
      <c r="D159" s="23"/>
      <c r="E159" s="24"/>
      <c r="F159" s="24"/>
      <c r="G159" s="24"/>
      <c r="H159" s="24"/>
      <c r="I159" s="21" t="str">
        <f aca="false">IF($A159="","",SUMIFS(Mouvements!$E$5:$E$1004,Mouvements!$B$5:$B$1004,$A159,Mouvements!$D$5:$D$1004,"Entrée"))</f>
        <v/>
      </c>
      <c r="J159" s="21" t="str">
        <f aca="false">IF($A159="","",SUMIFS(Mouvements!$E$5:$E$1004,Mouvements!$B$5:$B$1004,$A159,Mouvements!$D$5:$D$1004,"Sortie"))</f>
        <v/>
      </c>
      <c r="K159" s="21" t="str">
        <f aca="false">IF($A159="","",N($G159)+$I159-$J159)</f>
        <v/>
      </c>
      <c r="L159" s="21" t="str">
        <f aca="false">IF($A159="","",$K159*N($E159))</f>
        <v/>
      </c>
      <c r="M159" s="22" t="str">
        <f aca="false">IF($A159="","",IF($K159&lt;=0,"Rupture",IF($K159&lt;=N($H159),"À commander","OK")))</f>
        <v/>
      </c>
      <c r="N159" s="23"/>
      <c r="O159" s="23"/>
      <c r="P159" s="21" t="str">
        <f aca="false">IF($A159="","",IF($K159&lt;=N($H159),MAX(0,2*N($H159)-$K159),0))</f>
        <v/>
      </c>
    </row>
    <row r="160" customFormat="false" ht="15" hidden="false" customHeight="false" outlineLevel="0" collapsed="false">
      <c r="A160" s="23"/>
      <c r="B160" s="23"/>
      <c r="C160" s="23"/>
      <c r="D160" s="23"/>
      <c r="E160" s="24"/>
      <c r="F160" s="24"/>
      <c r="G160" s="24"/>
      <c r="H160" s="24"/>
      <c r="I160" s="21" t="str">
        <f aca="false">IF($A160="","",SUMIFS(Mouvements!$E$5:$E$1004,Mouvements!$B$5:$B$1004,$A160,Mouvements!$D$5:$D$1004,"Entrée"))</f>
        <v/>
      </c>
      <c r="J160" s="21" t="str">
        <f aca="false">IF($A160="","",SUMIFS(Mouvements!$E$5:$E$1004,Mouvements!$B$5:$B$1004,$A160,Mouvements!$D$5:$D$1004,"Sortie"))</f>
        <v/>
      </c>
      <c r="K160" s="21" t="str">
        <f aca="false">IF($A160="","",N($G160)+$I160-$J160)</f>
        <v/>
      </c>
      <c r="L160" s="21" t="str">
        <f aca="false">IF($A160="","",$K160*N($E160))</f>
        <v/>
      </c>
      <c r="M160" s="22" t="str">
        <f aca="false">IF($A160="","",IF($K160&lt;=0,"Rupture",IF($K160&lt;=N($H160),"À commander","OK")))</f>
        <v/>
      </c>
      <c r="N160" s="23"/>
      <c r="O160" s="23"/>
      <c r="P160" s="21" t="str">
        <f aca="false">IF($A160="","",IF($K160&lt;=N($H160),MAX(0,2*N($H160)-$K160),0))</f>
        <v/>
      </c>
    </row>
    <row r="161" customFormat="false" ht="15" hidden="false" customHeight="false" outlineLevel="0" collapsed="false">
      <c r="A161" s="23"/>
      <c r="B161" s="23"/>
      <c r="C161" s="23"/>
      <c r="D161" s="23"/>
      <c r="E161" s="24"/>
      <c r="F161" s="24"/>
      <c r="G161" s="24"/>
      <c r="H161" s="24"/>
      <c r="I161" s="21" t="str">
        <f aca="false">IF($A161="","",SUMIFS(Mouvements!$E$5:$E$1004,Mouvements!$B$5:$B$1004,$A161,Mouvements!$D$5:$D$1004,"Entrée"))</f>
        <v/>
      </c>
      <c r="J161" s="21" t="str">
        <f aca="false">IF($A161="","",SUMIFS(Mouvements!$E$5:$E$1004,Mouvements!$B$5:$B$1004,$A161,Mouvements!$D$5:$D$1004,"Sortie"))</f>
        <v/>
      </c>
      <c r="K161" s="21" t="str">
        <f aca="false">IF($A161="","",N($G161)+$I161-$J161)</f>
        <v/>
      </c>
      <c r="L161" s="21" t="str">
        <f aca="false">IF($A161="","",$K161*N($E161))</f>
        <v/>
      </c>
      <c r="M161" s="22" t="str">
        <f aca="false">IF($A161="","",IF($K161&lt;=0,"Rupture",IF($K161&lt;=N($H161),"À commander","OK")))</f>
        <v/>
      </c>
      <c r="N161" s="23"/>
      <c r="O161" s="23"/>
      <c r="P161" s="21" t="str">
        <f aca="false">IF($A161="","",IF($K161&lt;=N($H161),MAX(0,2*N($H161)-$K161),0))</f>
        <v/>
      </c>
    </row>
    <row r="162" customFormat="false" ht="15" hidden="false" customHeight="false" outlineLevel="0" collapsed="false">
      <c r="A162" s="23"/>
      <c r="B162" s="23"/>
      <c r="C162" s="23"/>
      <c r="D162" s="23"/>
      <c r="E162" s="24"/>
      <c r="F162" s="24"/>
      <c r="G162" s="24"/>
      <c r="H162" s="24"/>
      <c r="I162" s="21" t="str">
        <f aca="false">IF($A162="","",SUMIFS(Mouvements!$E$5:$E$1004,Mouvements!$B$5:$B$1004,$A162,Mouvements!$D$5:$D$1004,"Entrée"))</f>
        <v/>
      </c>
      <c r="J162" s="21" t="str">
        <f aca="false">IF($A162="","",SUMIFS(Mouvements!$E$5:$E$1004,Mouvements!$B$5:$B$1004,$A162,Mouvements!$D$5:$D$1004,"Sortie"))</f>
        <v/>
      </c>
      <c r="K162" s="21" t="str">
        <f aca="false">IF($A162="","",N($G162)+$I162-$J162)</f>
        <v/>
      </c>
      <c r="L162" s="21" t="str">
        <f aca="false">IF($A162="","",$K162*N($E162))</f>
        <v/>
      </c>
      <c r="M162" s="22" t="str">
        <f aca="false">IF($A162="","",IF($K162&lt;=0,"Rupture",IF($K162&lt;=N($H162),"À commander","OK")))</f>
        <v/>
      </c>
      <c r="N162" s="23"/>
      <c r="O162" s="23"/>
      <c r="P162" s="21" t="str">
        <f aca="false">IF($A162="","",IF($K162&lt;=N($H162),MAX(0,2*N($H162)-$K162),0))</f>
        <v/>
      </c>
    </row>
    <row r="163" customFormat="false" ht="15" hidden="false" customHeight="false" outlineLevel="0" collapsed="false">
      <c r="A163" s="23"/>
      <c r="B163" s="23"/>
      <c r="C163" s="23"/>
      <c r="D163" s="23"/>
      <c r="E163" s="24"/>
      <c r="F163" s="24"/>
      <c r="G163" s="24"/>
      <c r="H163" s="24"/>
      <c r="I163" s="21" t="str">
        <f aca="false">IF($A163="","",SUMIFS(Mouvements!$E$5:$E$1004,Mouvements!$B$5:$B$1004,$A163,Mouvements!$D$5:$D$1004,"Entrée"))</f>
        <v/>
      </c>
      <c r="J163" s="21" t="str">
        <f aca="false">IF($A163="","",SUMIFS(Mouvements!$E$5:$E$1004,Mouvements!$B$5:$B$1004,$A163,Mouvements!$D$5:$D$1004,"Sortie"))</f>
        <v/>
      </c>
      <c r="K163" s="21" t="str">
        <f aca="false">IF($A163="","",N($G163)+$I163-$J163)</f>
        <v/>
      </c>
      <c r="L163" s="21" t="str">
        <f aca="false">IF($A163="","",$K163*N($E163))</f>
        <v/>
      </c>
      <c r="M163" s="22" t="str">
        <f aca="false">IF($A163="","",IF($K163&lt;=0,"Rupture",IF($K163&lt;=N($H163),"À commander","OK")))</f>
        <v/>
      </c>
      <c r="N163" s="23"/>
      <c r="O163" s="23"/>
      <c r="P163" s="21" t="str">
        <f aca="false">IF($A163="","",IF($K163&lt;=N($H163),MAX(0,2*N($H163)-$K163),0))</f>
        <v/>
      </c>
    </row>
    <row r="164" customFormat="false" ht="15" hidden="false" customHeight="false" outlineLevel="0" collapsed="false">
      <c r="A164" s="23"/>
      <c r="B164" s="23"/>
      <c r="C164" s="23"/>
      <c r="D164" s="23"/>
      <c r="E164" s="24"/>
      <c r="F164" s="24"/>
      <c r="G164" s="24"/>
      <c r="H164" s="24"/>
      <c r="I164" s="21" t="str">
        <f aca="false">IF($A164="","",SUMIFS(Mouvements!$E$5:$E$1004,Mouvements!$B$5:$B$1004,$A164,Mouvements!$D$5:$D$1004,"Entrée"))</f>
        <v/>
      </c>
      <c r="J164" s="21" t="str">
        <f aca="false">IF($A164="","",SUMIFS(Mouvements!$E$5:$E$1004,Mouvements!$B$5:$B$1004,$A164,Mouvements!$D$5:$D$1004,"Sortie"))</f>
        <v/>
      </c>
      <c r="K164" s="21" t="str">
        <f aca="false">IF($A164="","",N($G164)+$I164-$J164)</f>
        <v/>
      </c>
      <c r="L164" s="21" t="str">
        <f aca="false">IF($A164="","",$K164*N($E164))</f>
        <v/>
      </c>
      <c r="M164" s="22" t="str">
        <f aca="false">IF($A164="","",IF($K164&lt;=0,"Rupture",IF($K164&lt;=N($H164),"À commander","OK")))</f>
        <v/>
      </c>
      <c r="N164" s="23"/>
      <c r="O164" s="23"/>
      <c r="P164" s="21" t="str">
        <f aca="false">IF($A164="","",IF($K164&lt;=N($H164),MAX(0,2*N($H164)-$K164),0))</f>
        <v/>
      </c>
    </row>
    <row r="165" customFormat="false" ht="15" hidden="false" customHeight="false" outlineLevel="0" collapsed="false">
      <c r="A165" s="23"/>
      <c r="B165" s="23"/>
      <c r="C165" s="23"/>
      <c r="D165" s="23"/>
      <c r="E165" s="24"/>
      <c r="F165" s="24"/>
      <c r="G165" s="24"/>
      <c r="H165" s="24"/>
      <c r="I165" s="21" t="str">
        <f aca="false">IF($A165="","",SUMIFS(Mouvements!$E$5:$E$1004,Mouvements!$B$5:$B$1004,$A165,Mouvements!$D$5:$D$1004,"Entrée"))</f>
        <v/>
      </c>
      <c r="J165" s="21" t="str">
        <f aca="false">IF($A165="","",SUMIFS(Mouvements!$E$5:$E$1004,Mouvements!$B$5:$B$1004,$A165,Mouvements!$D$5:$D$1004,"Sortie"))</f>
        <v/>
      </c>
      <c r="K165" s="21" t="str">
        <f aca="false">IF($A165="","",N($G165)+$I165-$J165)</f>
        <v/>
      </c>
      <c r="L165" s="21" t="str">
        <f aca="false">IF($A165="","",$K165*N($E165))</f>
        <v/>
      </c>
      <c r="M165" s="22" t="str">
        <f aca="false">IF($A165="","",IF($K165&lt;=0,"Rupture",IF($K165&lt;=N($H165),"À commander","OK")))</f>
        <v/>
      </c>
      <c r="N165" s="23"/>
      <c r="O165" s="23"/>
      <c r="P165" s="21" t="str">
        <f aca="false">IF($A165="","",IF($K165&lt;=N($H165),MAX(0,2*N($H165)-$K165),0))</f>
        <v/>
      </c>
    </row>
    <row r="166" customFormat="false" ht="15" hidden="false" customHeight="false" outlineLevel="0" collapsed="false">
      <c r="A166" s="23"/>
      <c r="B166" s="23"/>
      <c r="C166" s="23"/>
      <c r="D166" s="23"/>
      <c r="E166" s="24"/>
      <c r="F166" s="24"/>
      <c r="G166" s="24"/>
      <c r="H166" s="24"/>
      <c r="I166" s="21" t="str">
        <f aca="false">IF($A166="","",SUMIFS(Mouvements!$E$5:$E$1004,Mouvements!$B$5:$B$1004,$A166,Mouvements!$D$5:$D$1004,"Entrée"))</f>
        <v/>
      </c>
      <c r="J166" s="21" t="str">
        <f aca="false">IF($A166="","",SUMIFS(Mouvements!$E$5:$E$1004,Mouvements!$B$5:$B$1004,$A166,Mouvements!$D$5:$D$1004,"Sortie"))</f>
        <v/>
      </c>
      <c r="K166" s="21" t="str">
        <f aca="false">IF($A166="","",N($G166)+$I166-$J166)</f>
        <v/>
      </c>
      <c r="L166" s="21" t="str">
        <f aca="false">IF($A166="","",$K166*N($E166))</f>
        <v/>
      </c>
      <c r="M166" s="22" t="str">
        <f aca="false">IF($A166="","",IF($K166&lt;=0,"Rupture",IF($K166&lt;=N($H166),"À commander","OK")))</f>
        <v/>
      </c>
      <c r="N166" s="23"/>
      <c r="O166" s="23"/>
      <c r="P166" s="21" t="str">
        <f aca="false">IF($A166="","",IF($K166&lt;=N($H166),MAX(0,2*N($H166)-$K166),0))</f>
        <v/>
      </c>
    </row>
    <row r="167" customFormat="false" ht="15" hidden="false" customHeight="false" outlineLevel="0" collapsed="false">
      <c r="A167" s="23"/>
      <c r="B167" s="23"/>
      <c r="C167" s="23"/>
      <c r="D167" s="23"/>
      <c r="E167" s="24"/>
      <c r="F167" s="24"/>
      <c r="G167" s="24"/>
      <c r="H167" s="24"/>
      <c r="I167" s="21" t="str">
        <f aca="false">IF($A167="","",SUMIFS(Mouvements!$E$5:$E$1004,Mouvements!$B$5:$B$1004,$A167,Mouvements!$D$5:$D$1004,"Entrée"))</f>
        <v/>
      </c>
      <c r="J167" s="21" t="str">
        <f aca="false">IF($A167="","",SUMIFS(Mouvements!$E$5:$E$1004,Mouvements!$B$5:$B$1004,$A167,Mouvements!$D$5:$D$1004,"Sortie"))</f>
        <v/>
      </c>
      <c r="K167" s="21" t="str">
        <f aca="false">IF($A167="","",N($G167)+$I167-$J167)</f>
        <v/>
      </c>
      <c r="L167" s="21" t="str">
        <f aca="false">IF($A167="","",$K167*N($E167))</f>
        <v/>
      </c>
      <c r="M167" s="22" t="str">
        <f aca="false">IF($A167="","",IF($K167&lt;=0,"Rupture",IF($K167&lt;=N($H167),"À commander","OK")))</f>
        <v/>
      </c>
      <c r="N167" s="23"/>
      <c r="O167" s="23"/>
      <c r="P167" s="21" t="str">
        <f aca="false">IF($A167="","",IF($K167&lt;=N($H167),MAX(0,2*N($H167)-$K167),0))</f>
        <v/>
      </c>
    </row>
    <row r="168" customFormat="false" ht="15" hidden="false" customHeight="false" outlineLevel="0" collapsed="false">
      <c r="A168" s="23"/>
      <c r="B168" s="23"/>
      <c r="C168" s="23"/>
      <c r="D168" s="23"/>
      <c r="E168" s="24"/>
      <c r="F168" s="24"/>
      <c r="G168" s="24"/>
      <c r="H168" s="24"/>
      <c r="I168" s="21" t="str">
        <f aca="false">IF($A168="","",SUMIFS(Mouvements!$E$5:$E$1004,Mouvements!$B$5:$B$1004,$A168,Mouvements!$D$5:$D$1004,"Entrée"))</f>
        <v/>
      </c>
      <c r="J168" s="21" t="str">
        <f aca="false">IF($A168="","",SUMIFS(Mouvements!$E$5:$E$1004,Mouvements!$B$5:$B$1004,$A168,Mouvements!$D$5:$D$1004,"Sortie"))</f>
        <v/>
      </c>
      <c r="K168" s="21" t="str">
        <f aca="false">IF($A168="","",N($G168)+$I168-$J168)</f>
        <v/>
      </c>
      <c r="L168" s="21" t="str">
        <f aca="false">IF($A168="","",$K168*N($E168))</f>
        <v/>
      </c>
      <c r="M168" s="22" t="str">
        <f aca="false">IF($A168="","",IF($K168&lt;=0,"Rupture",IF($K168&lt;=N($H168),"À commander","OK")))</f>
        <v/>
      </c>
      <c r="N168" s="23"/>
      <c r="O168" s="23"/>
      <c r="P168" s="21" t="str">
        <f aca="false">IF($A168="","",IF($K168&lt;=N($H168),MAX(0,2*N($H168)-$K168),0))</f>
        <v/>
      </c>
    </row>
    <row r="169" customFormat="false" ht="15" hidden="false" customHeight="false" outlineLevel="0" collapsed="false">
      <c r="A169" s="23"/>
      <c r="B169" s="23"/>
      <c r="C169" s="23"/>
      <c r="D169" s="23"/>
      <c r="E169" s="24"/>
      <c r="F169" s="24"/>
      <c r="G169" s="24"/>
      <c r="H169" s="24"/>
      <c r="I169" s="21" t="str">
        <f aca="false">IF($A169="","",SUMIFS(Mouvements!$E$5:$E$1004,Mouvements!$B$5:$B$1004,$A169,Mouvements!$D$5:$D$1004,"Entrée"))</f>
        <v/>
      </c>
      <c r="J169" s="21" t="str">
        <f aca="false">IF($A169="","",SUMIFS(Mouvements!$E$5:$E$1004,Mouvements!$B$5:$B$1004,$A169,Mouvements!$D$5:$D$1004,"Sortie"))</f>
        <v/>
      </c>
      <c r="K169" s="21" t="str">
        <f aca="false">IF($A169="","",N($G169)+$I169-$J169)</f>
        <v/>
      </c>
      <c r="L169" s="21" t="str">
        <f aca="false">IF($A169="","",$K169*N($E169))</f>
        <v/>
      </c>
      <c r="M169" s="22" t="str">
        <f aca="false">IF($A169="","",IF($K169&lt;=0,"Rupture",IF($K169&lt;=N($H169),"À commander","OK")))</f>
        <v/>
      </c>
      <c r="N169" s="23"/>
      <c r="O169" s="23"/>
      <c r="P169" s="21" t="str">
        <f aca="false">IF($A169="","",IF($K169&lt;=N($H169),MAX(0,2*N($H169)-$K169),0))</f>
        <v/>
      </c>
    </row>
    <row r="170" customFormat="false" ht="15" hidden="false" customHeight="false" outlineLevel="0" collapsed="false">
      <c r="A170" s="23"/>
      <c r="B170" s="23"/>
      <c r="C170" s="23"/>
      <c r="D170" s="23"/>
      <c r="E170" s="24"/>
      <c r="F170" s="24"/>
      <c r="G170" s="24"/>
      <c r="H170" s="24"/>
      <c r="I170" s="21" t="str">
        <f aca="false">IF($A170="","",SUMIFS(Mouvements!$E$5:$E$1004,Mouvements!$B$5:$B$1004,$A170,Mouvements!$D$5:$D$1004,"Entrée"))</f>
        <v/>
      </c>
      <c r="J170" s="21" t="str">
        <f aca="false">IF($A170="","",SUMIFS(Mouvements!$E$5:$E$1004,Mouvements!$B$5:$B$1004,$A170,Mouvements!$D$5:$D$1004,"Sortie"))</f>
        <v/>
      </c>
      <c r="K170" s="21" t="str">
        <f aca="false">IF($A170="","",N($G170)+$I170-$J170)</f>
        <v/>
      </c>
      <c r="L170" s="21" t="str">
        <f aca="false">IF($A170="","",$K170*N($E170))</f>
        <v/>
      </c>
      <c r="M170" s="22" t="str">
        <f aca="false">IF($A170="","",IF($K170&lt;=0,"Rupture",IF($K170&lt;=N($H170),"À commander","OK")))</f>
        <v/>
      </c>
      <c r="N170" s="23"/>
      <c r="O170" s="23"/>
      <c r="P170" s="21" t="str">
        <f aca="false">IF($A170="","",IF($K170&lt;=N($H170),MAX(0,2*N($H170)-$K170),0))</f>
        <v/>
      </c>
    </row>
    <row r="171" customFormat="false" ht="15" hidden="false" customHeight="false" outlineLevel="0" collapsed="false">
      <c r="A171" s="23"/>
      <c r="B171" s="23"/>
      <c r="C171" s="23"/>
      <c r="D171" s="23"/>
      <c r="E171" s="24"/>
      <c r="F171" s="24"/>
      <c r="G171" s="24"/>
      <c r="H171" s="24"/>
      <c r="I171" s="21" t="str">
        <f aca="false">IF($A171="","",SUMIFS(Mouvements!$E$5:$E$1004,Mouvements!$B$5:$B$1004,$A171,Mouvements!$D$5:$D$1004,"Entrée"))</f>
        <v/>
      </c>
      <c r="J171" s="21" t="str">
        <f aca="false">IF($A171="","",SUMIFS(Mouvements!$E$5:$E$1004,Mouvements!$B$5:$B$1004,$A171,Mouvements!$D$5:$D$1004,"Sortie"))</f>
        <v/>
      </c>
      <c r="K171" s="21" t="str">
        <f aca="false">IF($A171="","",N($G171)+$I171-$J171)</f>
        <v/>
      </c>
      <c r="L171" s="21" t="str">
        <f aca="false">IF($A171="","",$K171*N($E171))</f>
        <v/>
      </c>
      <c r="M171" s="22" t="str">
        <f aca="false">IF($A171="","",IF($K171&lt;=0,"Rupture",IF($K171&lt;=N($H171),"À commander","OK")))</f>
        <v/>
      </c>
      <c r="N171" s="23"/>
      <c r="O171" s="23"/>
      <c r="P171" s="21" t="str">
        <f aca="false">IF($A171="","",IF($K171&lt;=N($H171),MAX(0,2*N($H171)-$K171),0))</f>
        <v/>
      </c>
    </row>
    <row r="172" customFormat="false" ht="15" hidden="false" customHeight="false" outlineLevel="0" collapsed="false">
      <c r="A172" s="23"/>
      <c r="B172" s="23"/>
      <c r="C172" s="23"/>
      <c r="D172" s="23"/>
      <c r="E172" s="24"/>
      <c r="F172" s="24"/>
      <c r="G172" s="24"/>
      <c r="H172" s="24"/>
      <c r="I172" s="21" t="str">
        <f aca="false">IF($A172="","",SUMIFS(Mouvements!$E$5:$E$1004,Mouvements!$B$5:$B$1004,$A172,Mouvements!$D$5:$D$1004,"Entrée"))</f>
        <v/>
      </c>
      <c r="J172" s="21" t="str">
        <f aca="false">IF($A172="","",SUMIFS(Mouvements!$E$5:$E$1004,Mouvements!$B$5:$B$1004,$A172,Mouvements!$D$5:$D$1004,"Sortie"))</f>
        <v/>
      </c>
      <c r="K172" s="21" t="str">
        <f aca="false">IF($A172="","",N($G172)+$I172-$J172)</f>
        <v/>
      </c>
      <c r="L172" s="21" t="str">
        <f aca="false">IF($A172="","",$K172*N($E172))</f>
        <v/>
      </c>
      <c r="M172" s="22" t="str">
        <f aca="false">IF($A172="","",IF($K172&lt;=0,"Rupture",IF($K172&lt;=N($H172),"À commander","OK")))</f>
        <v/>
      </c>
      <c r="N172" s="23"/>
      <c r="O172" s="23"/>
      <c r="P172" s="21" t="str">
        <f aca="false">IF($A172="","",IF($K172&lt;=N($H172),MAX(0,2*N($H172)-$K172),0))</f>
        <v/>
      </c>
    </row>
    <row r="173" customFormat="false" ht="15" hidden="false" customHeight="false" outlineLevel="0" collapsed="false">
      <c r="A173" s="23"/>
      <c r="B173" s="23"/>
      <c r="C173" s="23"/>
      <c r="D173" s="23"/>
      <c r="E173" s="24"/>
      <c r="F173" s="24"/>
      <c r="G173" s="24"/>
      <c r="H173" s="24"/>
      <c r="I173" s="21" t="str">
        <f aca="false">IF($A173="","",SUMIFS(Mouvements!$E$5:$E$1004,Mouvements!$B$5:$B$1004,$A173,Mouvements!$D$5:$D$1004,"Entrée"))</f>
        <v/>
      </c>
      <c r="J173" s="21" t="str">
        <f aca="false">IF($A173="","",SUMIFS(Mouvements!$E$5:$E$1004,Mouvements!$B$5:$B$1004,$A173,Mouvements!$D$5:$D$1004,"Sortie"))</f>
        <v/>
      </c>
      <c r="K173" s="21" t="str">
        <f aca="false">IF($A173="","",N($G173)+$I173-$J173)</f>
        <v/>
      </c>
      <c r="L173" s="21" t="str">
        <f aca="false">IF($A173="","",$K173*N($E173))</f>
        <v/>
      </c>
      <c r="M173" s="22" t="str">
        <f aca="false">IF($A173="","",IF($K173&lt;=0,"Rupture",IF($K173&lt;=N($H173),"À commander","OK")))</f>
        <v/>
      </c>
      <c r="N173" s="23"/>
      <c r="O173" s="23"/>
      <c r="P173" s="21" t="str">
        <f aca="false">IF($A173="","",IF($K173&lt;=N($H173),MAX(0,2*N($H173)-$K173),0))</f>
        <v/>
      </c>
    </row>
    <row r="174" customFormat="false" ht="15" hidden="false" customHeight="false" outlineLevel="0" collapsed="false">
      <c r="A174" s="23"/>
      <c r="B174" s="23"/>
      <c r="C174" s="23"/>
      <c r="D174" s="23"/>
      <c r="E174" s="24"/>
      <c r="F174" s="24"/>
      <c r="G174" s="24"/>
      <c r="H174" s="24"/>
      <c r="I174" s="21" t="str">
        <f aca="false">IF($A174="","",SUMIFS(Mouvements!$E$5:$E$1004,Mouvements!$B$5:$B$1004,$A174,Mouvements!$D$5:$D$1004,"Entrée"))</f>
        <v/>
      </c>
      <c r="J174" s="21" t="str">
        <f aca="false">IF($A174="","",SUMIFS(Mouvements!$E$5:$E$1004,Mouvements!$B$5:$B$1004,$A174,Mouvements!$D$5:$D$1004,"Sortie"))</f>
        <v/>
      </c>
      <c r="K174" s="21" t="str">
        <f aca="false">IF($A174="","",N($G174)+$I174-$J174)</f>
        <v/>
      </c>
      <c r="L174" s="21" t="str">
        <f aca="false">IF($A174="","",$K174*N($E174))</f>
        <v/>
      </c>
      <c r="M174" s="22" t="str">
        <f aca="false">IF($A174="","",IF($K174&lt;=0,"Rupture",IF($K174&lt;=N($H174),"À commander","OK")))</f>
        <v/>
      </c>
      <c r="N174" s="23"/>
      <c r="O174" s="23"/>
      <c r="P174" s="21" t="str">
        <f aca="false">IF($A174="","",IF($K174&lt;=N($H174),MAX(0,2*N($H174)-$K174),0))</f>
        <v/>
      </c>
    </row>
    <row r="175" customFormat="false" ht="15" hidden="false" customHeight="false" outlineLevel="0" collapsed="false">
      <c r="A175" s="23"/>
      <c r="B175" s="23"/>
      <c r="C175" s="23"/>
      <c r="D175" s="23"/>
      <c r="E175" s="24"/>
      <c r="F175" s="24"/>
      <c r="G175" s="24"/>
      <c r="H175" s="24"/>
      <c r="I175" s="21" t="str">
        <f aca="false">IF($A175="","",SUMIFS(Mouvements!$E$5:$E$1004,Mouvements!$B$5:$B$1004,$A175,Mouvements!$D$5:$D$1004,"Entrée"))</f>
        <v/>
      </c>
      <c r="J175" s="21" t="str">
        <f aca="false">IF($A175="","",SUMIFS(Mouvements!$E$5:$E$1004,Mouvements!$B$5:$B$1004,$A175,Mouvements!$D$5:$D$1004,"Sortie"))</f>
        <v/>
      </c>
      <c r="K175" s="21" t="str">
        <f aca="false">IF($A175="","",N($G175)+$I175-$J175)</f>
        <v/>
      </c>
      <c r="L175" s="21" t="str">
        <f aca="false">IF($A175="","",$K175*N($E175))</f>
        <v/>
      </c>
      <c r="M175" s="22" t="str">
        <f aca="false">IF($A175="","",IF($K175&lt;=0,"Rupture",IF($K175&lt;=N($H175),"À commander","OK")))</f>
        <v/>
      </c>
      <c r="N175" s="23"/>
      <c r="O175" s="23"/>
      <c r="P175" s="21" t="str">
        <f aca="false">IF($A175="","",IF($K175&lt;=N($H175),MAX(0,2*N($H175)-$K175),0))</f>
        <v/>
      </c>
    </row>
    <row r="176" customFormat="false" ht="15" hidden="false" customHeight="false" outlineLevel="0" collapsed="false">
      <c r="A176" s="23"/>
      <c r="B176" s="23"/>
      <c r="C176" s="23"/>
      <c r="D176" s="23"/>
      <c r="E176" s="24"/>
      <c r="F176" s="24"/>
      <c r="G176" s="24"/>
      <c r="H176" s="24"/>
      <c r="I176" s="21" t="str">
        <f aca="false">IF($A176="","",SUMIFS(Mouvements!$E$5:$E$1004,Mouvements!$B$5:$B$1004,$A176,Mouvements!$D$5:$D$1004,"Entrée"))</f>
        <v/>
      </c>
      <c r="J176" s="21" t="str">
        <f aca="false">IF($A176="","",SUMIFS(Mouvements!$E$5:$E$1004,Mouvements!$B$5:$B$1004,$A176,Mouvements!$D$5:$D$1004,"Sortie"))</f>
        <v/>
      </c>
      <c r="K176" s="21" t="str">
        <f aca="false">IF($A176="","",N($G176)+$I176-$J176)</f>
        <v/>
      </c>
      <c r="L176" s="21" t="str">
        <f aca="false">IF($A176="","",$K176*N($E176))</f>
        <v/>
      </c>
      <c r="M176" s="22" t="str">
        <f aca="false">IF($A176="","",IF($K176&lt;=0,"Rupture",IF($K176&lt;=N($H176),"À commander","OK")))</f>
        <v/>
      </c>
      <c r="N176" s="23"/>
      <c r="O176" s="23"/>
      <c r="P176" s="21" t="str">
        <f aca="false">IF($A176="","",IF($K176&lt;=N($H176),MAX(0,2*N($H176)-$K176),0))</f>
        <v/>
      </c>
    </row>
    <row r="177" customFormat="false" ht="15" hidden="false" customHeight="false" outlineLevel="0" collapsed="false">
      <c r="A177" s="23"/>
      <c r="B177" s="23"/>
      <c r="C177" s="23"/>
      <c r="D177" s="23"/>
      <c r="E177" s="24"/>
      <c r="F177" s="24"/>
      <c r="G177" s="24"/>
      <c r="H177" s="24"/>
      <c r="I177" s="21" t="str">
        <f aca="false">IF($A177="","",SUMIFS(Mouvements!$E$5:$E$1004,Mouvements!$B$5:$B$1004,$A177,Mouvements!$D$5:$D$1004,"Entrée"))</f>
        <v/>
      </c>
      <c r="J177" s="21" t="str">
        <f aca="false">IF($A177="","",SUMIFS(Mouvements!$E$5:$E$1004,Mouvements!$B$5:$B$1004,$A177,Mouvements!$D$5:$D$1004,"Sortie"))</f>
        <v/>
      </c>
      <c r="K177" s="21" t="str">
        <f aca="false">IF($A177="","",N($G177)+$I177-$J177)</f>
        <v/>
      </c>
      <c r="L177" s="21" t="str">
        <f aca="false">IF($A177="","",$K177*N($E177))</f>
        <v/>
      </c>
      <c r="M177" s="22" t="str">
        <f aca="false">IF($A177="","",IF($K177&lt;=0,"Rupture",IF($K177&lt;=N($H177),"À commander","OK")))</f>
        <v/>
      </c>
      <c r="N177" s="23"/>
      <c r="O177" s="23"/>
      <c r="P177" s="21" t="str">
        <f aca="false">IF($A177="","",IF($K177&lt;=N($H177),MAX(0,2*N($H177)-$K177),0))</f>
        <v/>
      </c>
    </row>
    <row r="178" customFormat="false" ht="15" hidden="false" customHeight="false" outlineLevel="0" collapsed="false">
      <c r="A178" s="23"/>
      <c r="B178" s="23"/>
      <c r="C178" s="23"/>
      <c r="D178" s="23"/>
      <c r="E178" s="24"/>
      <c r="F178" s="24"/>
      <c r="G178" s="24"/>
      <c r="H178" s="24"/>
      <c r="I178" s="21" t="str">
        <f aca="false">IF($A178="","",SUMIFS(Mouvements!$E$5:$E$1004,Mouvements!$B$5:$B$1004,$A178,Mouvements!$D$5:$D$1004,"Entrée"))</f>
        <v/>
      </c>
      <c r="J178" s="21" t="str">
        <f aca="false">IF($A178="","",SUMIFS(Mouvements!$E$5:$E$1004,Mouvements!$B$5:$B$1004,$A178,Mouvements!$D$5:$D$1004,"Sortie"))</f>
        <v/>
      </c>
      <c r="K178" s="21" t="str">
        <f aca="false">IF($A178="","",N($G178)+$I178-$J178)</f>
        <v/>
      </c>
      <c r="L178" s="21" t="str">
        <f aca="false">IF($A178="","",$K178*N($E178))</f>
        <v/>
      </c>
      <c r="M178" s="22" t="str">
        <f aca="false">IF($A178="","",IF($K178&lt;=0,"Rupture",IF($K178&lt;=N($H178),"À commander","OK")))</f>
        <v/>
      </c>
      <c r="N178" s="23"/>
      <c r="O178" s="23"/>
      <c r="P178" s="21" t="str">
        <f aca="false">IF($A178="","",IF($K178&lt;=N($H178),MAX(0,2*N($H178)-$K178),0))</f>
        <v/>
      </c>
    </row>
    <row r="179" customFormat="false" ht="15" hidden="false" customHeight="false" outlineLevel="0" collapsed="false">
      <c r="A179" s="23"/>
      <c r="B179" s="23"/>
      <c r="C179" s="23"/>
      <c r="D179" s="23"/>
      <c r="E179" s="24"/>
      <c r="F179" s="24"/>
      <c r="G179" s="24"/>
      <c r="H179" s="24"/>
      <c r="I179" s="21" t="str">
        <f aca="false">IF($A179="","",SUMIFS(Mouvements!$E$5:$E$1004,Mouvements!$B$5:$B$1004,$A179,Mouvements!$D$5:$D$1004,"Entrée"))</f>
        <v/>
      </c>
      <c r="J179" s="21" t="str">
        <f aca="false">IF($A179="","",SUMIFS(Mouvements!$E$5:$E$1004,Mouvements!$B$5:$B$1004,$A179,Mouvements!$D$5:$D$1004,"Sortie"))</f>
        <v/>
      </c>
      <c r="K179" s="21" t="str">
        <f aca="false">IF($A179="","",N($G179)+$I179-$J179)</f>
        <v/>
      </c>
      <c r="L179" s="21" t="str">
        <f aca="false">IF($A179="","",$K179*N($E179))</f>
        <v/>
      </c>
      <c r="M179" s="22" t="str">
        <f aca="false">IF($A179="","",IF($K179&lt;=0,"Rupture",IF($K179&lt;=N($H179),"À commander","OK")))</f>
        <v/>
      </c>
      <c r="N179" s="23"/>
      <c r="O179" s="23"/>
      <c r="P179" s="21" t="str">
        <f aca="false">IF($A179="","",IF($K179&lt;=N($H179),MAX(0,2*N($H179)-$K179),0))</f>
        <v/>
      </c>
    </row>
    <row r="180" customFormat="false" ht="15" hidden="false" customHeight="false" outlineLevel="0" collapsed="false">
      <c r="A180" s="23"/>
      <c r="B180" s="23"/>
      <c r="C180" s="23"/>
      <c r="D180" s="23"/>
      <c r="E180" s="24"/>
      <c r="F180" s="24"/>
      <c r="G180" s="24"/>
      <c r="H180" s="24"/>
      <c r="I180" s="21" t="str">
        <f aca="false">IF($A180="","",SUMIFS(Mouvements!$E$5:$E$1004,Mouvements!$B$5:$B$1004,$A180,Mouvements!$D$5:$D$1004,"Entrée"))</f>
        <v/>
      </c>
      <c r="J180" s="21" t="str">
        <f aca="false">IF($A180="","",SUMIFS(Mouvements!$E$5:$E$1004,Mouvements!$B$5:$B$1004,$A180,Mouvements!$D$5:$D$1004,"Sortie"))</f>
        <v/>
      </c>
      <c r="K180" s="21" t="str">
        <f aca="false">IF($A180="","",N($G180)+$I180-$J180)</f>
        <v/>
      </c>
      <c r="L180" s="21" t="str">
        <f aca="false">IF($A180="","",$K180*N($E180))</f>
        <v/>
      </c>
      <c r="M180" s="22" t="str">
        <f aca="false">IF($A180="","",IF($K180&lt;=0,"Rupture",IF($K180&lt;=N($H180),"À commander","OK")))</f>
        <v/>
      </c>
      <c r="N180" s="23"/>
      <c r="O180" s="23"/>
      <c r="P180" s="21" t="str">
        <f aca="false">IF($A180="","",IF($K180&lt;=N($H180),MAX(0,2*N($H180)-$K180),0))</f>
        <v/>
      </c>
    </row>
    <row r="181" customFormat="false" ht="15" hidden="false" customHeight="false" outlineLevel="0" collapsed="false">
      <c r="A181" s="23"/>
      <c r="B181" s="23"/>
      <c r="C181" s="23"/>
      <c r="D181" s="23"/>
      <c r="E181" s="24"/>
      <c r="F181" s="24"/>
      <c r="G181" s="24"/>
      <c r="H181" s="24"/>
      <c r="I181" s="21" t="str">
        <f aca="false">IF($A181="","",SUMIFS(Mouvements!$E$5:$E$1004,Mouvements!$B$5:$B$1004,$A181,Mouvements!$D$5:$D$1004,"Entrée"))</f>
        <v/>
      </c>
      <c r="J181" s="21" t="str">
        <f aca="false">IF($A181="","",SUMIFS(Mouvements!$E$5:$E$1004,Mouvements!$B$5:$B$1004,$A181,Mouvements!$D$5:$D$1004,"Sortie"))</f>
        <v/>
      </c>
      <c r="K181" s="21" t="str">
        <f aca="false">IF($A181="","",N($G181)+$I181-$J181)</f>
        <v/>
      </c>
      <c r="L181" s="21" t="str">
        <f aca="false">IF($A181="","",$K181*N($E181))</f>
        <v/>
      </c>
      <c r="M181" s="22" t="str">
        <f aca="false">IF($A181="","",IF($K181&lt;=0,"Rupture",IF($K181&lt;=N($H181),"À commander","OK")))</f>
        <v/>
      </c>
      <c r="N181" s="23"/>
      <c r="O181" s="23"/>
      <c r="P181" s="21" t="str">
        <f aca="false">IF($A181="","",IF($K181&lt;=N($H181),MAX(0,2*N($H181)-$K181),0))</f>
        <v/>
      </c>
    </row>
    <row r="182" customFormat="false" ht="15" hidden="false" customHeight="false" outlineLevel="0" collapsed="false">
      <c r="A182" s="23"/>
      <c r="B182" s="23"/>
      <c r="C182" s="23"/>
      <c r="D182" s="23"/>
      <c r="E182" s="24"/>
      <c r="F182" s="24"/>
      <c r="G182" s="24"/>
      <c r="H182" s="24"/>
      <c r="I182" s="21" t="str">
        <f aca="false">IF($A182="","",SUMIFS(Mouvements!$E$5:$E$1004,Mouvements!$B$5:$B$1004,$A182,Mouvements!$D$5:$D$1004,"Entrée"))</f>
        <v/>
      </c>
      <c r="J182" s="21" t="str">
        <f aca="false">IF($A182="","",SUMIFS(Mouvements!$E$5:$E$1004,Mouvements!$B$5:$B$1004,$A182,Mouvements!$D$5:$D$1004,"Sortie"))</f>
        <v/>
      </c>
      <c r="K182" s="21" t="str">
        <f aca="false">IF($A182="","",N($G182)+$I182-$J182)</f>
        <v/>
      </c>
      <c r="L182" s="21" t="str">
        <f aca="false">IF($A182="","",$K182*N($E182))</f>
        <v/>
      </c>
      <c r="M182" s="22" t="str">
        <f aca="false">IF($A182="","",IF($K182&lt;=0,"Rupture",IF($K182&lt;=N($H182),"À commander","OK")))</f>
        <v/>
      </c>
      <c r="N182" s="23"/>
      <c r="O182" s="23"/>
      <c r="P182" s="21" t="str">
        <f aca="false">IF($A182="","",IF($K182&lt;=N($H182),MAX(0,2*N($H182)-$K182),0))</f>
        <v/>
      </c>
    </row>
    <row r="183" customFormat="false" ht="15" hidden="false" customHeight="false" outlineLevel="0" collapsed="false">
      <c r="A183" s="23"/>
      <c r="B183" s="23"/>
      <c r="C183" s="23"/>
      <c r="D183" s="23"/>
      <c r="E183" s="24"/>
      <c r="F183" s="24"/>
      <c r="G183" s="24"/>
      <c r="H183" s="24"/>
      <c r="I183" s="21" t="str">
        <f aca="false">IF($A183="","",SUMIFS(Mouvements!$E$5:$E$1004,Mouvements!$B$5:$B$1004,$A183,Mouvements!$D$5:$D$1004,"Entrée"))</f>
        <v/>
      </c>
      <c r="J183" s="21" t="str">
        <f aca="false">IF($A183="","",SUMIFS(Mouvements!$E$5:$E$1004,Mouvements!$B$5:$B$1004,$A183,Mouvements!$D$5:$D$1004,"Sortie"))</f>
        <v/>
      </c>
      <c r="K183" s="21" t="str">
        <f aca="false">IF($A183="","",N($G183)+$I183-$J183)</f>
        <v/>
      </c>
      <c r="L183" s="21" t="str">
        <f aca="false">IF($A183="","",$K183*N($E183))</f>
        <v/>
      </c>
      <c r="M183" s="22" t="str">
        <f aca="false">IF($A183="","",IF($K183&lt;=0,"Rupture",IF($K183&lt;=N($H183),"À commander","OK")))</f>
        <v/>
      </c>
      <c r="N183" s="23"/>
      <c r="O183" s="23"/>
      <c r="P183" s="21" t="str">
        <f aca="false">IF($A183="","",IF($K183&lt;=N($H183),MAX(0,2*N($H183)-$K183),0))</f>
        <v/>
      </c>
    </row>
    <row r="184" customFormat="false" ht="15" hidden="false" customHeight="false" outlineLevel="0" collapsed="false">
      <c r="A184" s="23"/>
      <c r="B184" s="23"/>
      <c r="C184" s="23"/>
      <c r="D184" s="23"/>
      <c r="E184" s="24"/>
      <c r="F184" s="24"/>
      <c r="G184" s="24"/>
      <c r="H184" s="24"/>
      <c r="I184" s="21" t="str">
        <f aca="false">IF($A184="","",SUMIFS(Mouvements!$E$5:$E$1004,Mouvements!$B$5:$B$1004,$A184,Mouvements!$D$5:$D$1004,"Entrée"))</f>
        <v/>
      </c>
      <c r="J184" s="21" t="str">
        <f aca="false">IF($A184="","",SUMIFS(Mouvements!$E$5:$E$1004,Mouvements!$B$5:$B$1004,$A184,Mouvements!$D$5:$D$1004,"Sortie"))</f>
        <v/>
      </c>
      <c r="K184" s="21" t="str">
        <f aca="false">IF($A184="","",N($G184)+$I184-$J184)</f>
        <v/>
      </c>
      <c r="L184" s="21" t="str">
        <f aca="false">IF($A184="","",$K184*N($E184))</f>
        <v/>
      </c>
      <c r="M184" s="22" t="str">
        <f aca="false">IF($A184="","",IF($K184&lt;=0,"Rupture",IF($K184&lt;=N($H184),"À commander","OK")))</f>
        <v/>
      </c>
      <c r="N184" s="23"/>
      <c r="O184" s="23"/>
      <c r="P184" s="21" t="str">
        <f aca="false">IF($A184="","",IF($K184&lt;=N($H184),MAX(0,2*N($H184)-$K184),0))</f>
        <v/>
      </c>
    </row>
    <row r="185" customFormat="false" ht="15" hidden="false" customHeight="false" outlineLevel="0" collapsed="false">
      <c r="A185" s="23"/>
      <c r="B185" s="23"/>
      <c r="C185" s="23"/>
      <c r="D185" s="23"/>
      <c r="E185" s="24"/>
      <c r="F185" s="24"/>
      <c r="G185" s="24"/>
      <c r="H185" s="24"/>
      <c r="I185" s="21" t="str">
        <f aca="false">IF($A185="","",SUMIFS(Mouvements!$E$5:$E$1004,Mouvements!$B$5:$B$1004,$A185,Mouvements!$D$5:$D$1004,"Entrée"))</f>
        <v/>
      </c>
      <c r="J185" s="21" t="str">
        <f aca="false">IF($A185="","",SUMIFS(Mouvements!$E$5:$E$1004,Mouvements!$B$5:$B$1004,$A185,Mouvements!$D$5:$D$1004,"Sortie"))</f>
        <v/>
      </c>
      <c r="K185" s="21" t="str">
        <f aca="false">IF($A185="","",N($G185)+$I185-$J185)</f>
        <v/>
      </c>
      <c r="L185" s="21" t="str">
        <f aca="false">IF($A185="","",$K185*N($E185))</f>
        <v/>
      </c>
      <c r="M185" s="22" t="str">
        <f aca="false">IF($A185="","",IF($K185&lt;=0,"Rupture",IF($K185&lt;=N($H185),"À commander","OK")))</f>
        <v/>
      </c>
      <c r="N185" s="23"/>
      <c r="O185" s="23"/>
      <c r="P185" s="21" t="str">
        <f aca="false">IF($A185="","",IF($K185&lt;=N($H185),MAX(0,2*N($H185)-$K185),0))</f>
        <v/>
      </c>
    </row>
    <row r="186" customFormat="false" ht="15" hidden="false" customHeight="false" outlineLevel="0" collapsed="false">
      <c r="A186" s="23"/>
      <c r="B186" s="23"/>
      <c r="C186" s="23"/>
      <c r="D186" s="23"/>
      <c r="E186" s="24"/>
      <c r="F186" s="24"/>
      <c r="G186" s="24"/>
      <c r="H186" s="24"/>
      <c r="I186" s="21" t="str">
        <f aca="false">IF($A186="","",SUMIFS(Mouvements!$E$5:$E$1004,Mouvements!$B$5:$B$1004,$A186,Mouvements!$D$5:$D$1004,"Entrée"))</f>
        <v/>
      </c>
      <c r="J186" s="21" t="str">
        <f aca="false">IF($A186="","",SUMIFS(Mouvements!$E$5:$E$1004,Mouvements!$B$5:$B$1004,$A186,Mouvements!$D$5:$D$1004,"Sortie"))</f>
        <v/>
      </c>
      <c r="K186" s="21" t="str">
        <f aca="false">IF($A186="","",N($G186)+$I186-$J186)</f>
        <v/>
      </c>
      <c r="L186" s="21" t="str">
        <f aca="false">IF($A186="","",$K186*N($E186))</f>
        <v/>
      </c>
      <c r="M186" s="22" t="str">
        <f aca="false">IF($A186="","",IF($K186&lt;=0,"Rupture",IF($K186&lt;=N($H186),"À commander","OK")))</f>
        <v/>
      </c>
      <c r="N186" s="23"/>
      <c r="O186" s="23"/>
      <c r="P186" s="21" t="str">
        <f aca="false">IF($A186="","",IF($K186&lt;=N($H186),MAX(0,2*N($H186)-$K186),0))</f>
        <v/>
      </c>
    </row>
    <row r="187" customFormat="false" ht="15" hidden="false" customHeight="false" outlineLevel="0" collapsed="false">
      <c r="A187" s="23"/>
      <c r="B187" s="23"/>
      <c r="C187" s="23"/>
      <c r="D187" s="23"/>
      <c r="E187" s="24"/>
      <c r="F187" s="24"/>
      <c r="G187" s="24"/>
      <c r="H187" s="24"/>
      <c r="I187" s="21" t="str">
        <f aca="false">IF($A187="","",SUMIFS(Mouvements!$E$5:$E$1004,Mouvements!$B$5:$B$1004,$A187,Mouvements!$D$5:$D$1004,"Entrée"))</f>
        <v/>
      </c>
      <c r="J187" s="21" t="str">
        <f aca="false">IF($A187="","",SUMIFS(Mouvements!$E$5:$E$1004,Mouvements!$B$5:$B$1004,$A187,Mouvements!$D$5:$D$1004,"Sortie"))</f>
        <v/>
      </c>
      <c r="K187" s="21" t="str">
        <f aca="false">IF($A187="","",N($G187)+$I187-$J187)</f>
        <v/>
      </c>
      <c r="L187" s="21" t="str">
        <f aca="false">IF($A187="","",$K187*N($E187))</f>
        <v/>
      </c>
      <c r="M187" s="22" t="str">
        <f aca="false">IF($A187="","",IF($K187&lt;=0,"Rupture",IF($K187&lt;=N($H187),"À commander","OK")))</f>
        <v/>
      </c>
      <c r="N187" s="23"/>
      <c r="O187" s="23"/>
      <c r="P187" s="21" t="str">
        <f aca="false">IF($A187="","",IF($K187&lt;=N($H187),MAX(0,2*N($H187)-$K187),0))</f>
        <v/>
      </c>
    </row>
    <row r="188" customFormat="false" ht="15" hidden="false" customHeight="false" outlineLevel="0" collapsed="false">
      <c r="A188" s="23"/>
      <c r="B188" s="23"/>
      <c r="C188" s="23"/>
      <c r="D188" s="23"/>
      <c r="E188" s="24"/>
      <c r="F188" s="24"/>
      <c r="G188" s="24"/>
      <c r="H188" s="24"/>
      <c r="I188" s="21" t="str">
        <f aca="false">IF($A188="","",SUMIFS(Mouvements!$E$5:$E$1004,Mouvements!$B$5:$B$1004,$A188,Mouvements!$D$5:$D$1004,"Entrée"))</f>
        <v/>
      </c>
      <c r="J188" s="21" t="str">
        <f aca="false">IF($A188="","",SUMIFS(Mouvements!$E$5:$E$1004,Mouvements!$B$5:$B$1004,$A188,Mouvements!$D$5:$D$1004,"Sortie"))</f>
        <v/>
      </c>
      <c r="K188" s="21" t="str">
        <f aca="false">IF($A188="","",N($G188)+$I188-$J188)</f>
        <v/>
      </c>
      <c r="L188" s="21" t="str">
        <f aca="false">IF($A188="","",$K188*N($E188))</f>
        <v/>
      </c>
      <c r="M188" s="22" t="str">
        <f aca="false">IF($A188="","",IF($K188&lt;=0,"Rupture",IF($K188&lt;=N($H188),"À commander","OK")))</f>
        <v/>
      </c>
      <c r="N188" s="23"/>
      <c r="O188" s="23"/>
      <c r="P188" s="21" t="str">
        <f aca="false">IF($A188="","",IF($K188&lt;=N($H188),MAX(0,2*N($H188)-$K188),0))</f>
        <v/>
      </c>
    </row>
    <row r="189" customFormat="false" ht="15" hidden="false" customHeight="false" outlineLevel="0" collapsed="false">
      <c r="A189" s="23"/>
      <c r="B189" s="23"/>
      <c r="C189" s="23"/>
      <c r="D189" s="23"/>
      <c r="E189" s="24"/>
      <c r="F189" s="24"/>
      <c r="G189" s="24"/>
      <c r="H189" s="24"/>
      <c r="I189" s="21" t="str">
        <f aca="false">IF($A189="","",SUMIFS(Mouvements!$E$5:$E$1004,Mouvements!$B$5:$B$1004,$A189,Mouvements!$D$5:$D$1004,"Entrée"))</f>
        <v/>
      </c>
      <c r="J189" s="21" t="str">
        <f aca="false">IF($A189="","",SUMIFS(Mouvements!$E$5:$E$1004,Mouvements!$B$5:$B$1004,$A189,Mouvements!$D$5:$D$1004,"Sortie"))</f>
        <v/>
      </c>
      <c r="K189" s="21" t="str">
        <f aca="false">IF($A189="","",N($G189)+$I189-$J189)</f>
        <v/>
      </c>
      <c r="L189" s="21" t="str">
        <f aca="false">IF($A189="","",$K189*N($E189))</f>
        <v/>
      </c>
      <c r="M189" s="22" t="str">
        <f aca="false">IF($A189="","",IF($K189&lt;=0,"Rupture",IF($K189&lt;=N($H189),"À commander","OK")))</f>
        <v/>
      </c>
      <c r="N189" s="23"/>
      <c r="O189" s="23"/>
      <c r="P189" s="21" t="str">
        <f aca="false">IF($A189="","",IF($K189&lt;=N($H189),MAX(0,2*N($H189)-$K189),0))</f>
        <v/>
      </c>
    </row>
    <row r="190" customFormat="false" ht="15" hidden="false" customHeight="false" outlineLevel="0" collapsed="false">
      <c r="A190" s="23"/>
      <c r="B190" s="23"/>
      <c r="C190" s="23"/>
      <c r="D190" s="23"/>
      <c r="E190" s="24"/>
      <c r="F190" s="24"/>
      <c r="G190" s="24"/>
      <c r="H190" s="24"/>
      <c r="I190" s="21" t="str">
        <f aca="false">IF($A190="","",SUMIFS(Mouvements!$E$5:$E$1004,Mouvements!$B$5:$B$1004,$A190,Mouvements!$D$5:$D$1004,"Entrée"))</f>
        <v/>
      </c>
      <c r="J190" s="21" t="str">
        <f aca="false">IF($A190="","",SUMIFS(Mouvements!$E$5:$E$1004,Mouvements!$B$5:$B$1004,$A190,Mouvements!$D$5:$D$1004,"Sortie"))</f>
        <v/>
      </c>
      <c r="K190" s="21" t="str">
        <f aca="false">IF($A190="","",N($G190)+$I190-$J190)</f>
        <v/>
      </c>
      <c r="L190" s="21" t="str">
        <f aca="false">IF($A190="","",$K190*N($E190))</f>
        <v/>
      </c>
      <c r="M190" s="22" t="str">
        <f aca="false">IF($A190="","",IF($K190&lt;=0,"Rupture",IF($K190&lt;=N($H190),"À commander","OK")))</f>
        <v/>
      </c>
      <c r="N190" s="23"/>
      <c r="O190" s="23"/>
      <c r="P190" s="21" t="str">
        <f aca="false">IF($A190="","",IF($K190&lt;=N($H190),MAX(0,2*N($H190)-$K190),0))</f>
        <v/>
      </c>
    </row>
    <row r="191" customFormat="false" ht="15" hidden="false" customHeight="false" outlineLevel="0" collapsed="false">
      <c r="A191" s="23"/>
      <c r="B191" s="23"/>
      <c r="C191" s="23"/>
      <c r="D191" s="23"/>
      <c r="E191" s="24"/>
      <c r="F191" s="24"/>
      <c r="G191" s="24"/>
      <c r="H191" s="24"/>
      <c r="I191" s="21" t="str">
        <f aca="false">IF($A191="","",SUMIFS(Mouvements!$E$5:$E$1004,Mouvements!$B$5:$B$1004,$A191,Mouvements!$D$5:$D$1004,"Entrée"))</f>
        <v/>
      </c>
      <c r="J191" s="21" t="str">
        <f aca="false">IF($A191="","",SUMIFS(Mouvements!$E$5:$E$1004,Mouvements!$B$5:$B$1004,$A191,Mouvements!$D$5:$D$1004,"Sortie"))</f>
        <v/>
      </c>
      <c r="K191" s="21" t="str">
        <f aca="false">IF($A191="","",N($G191)+$I191-$J191)</f>
        <v/>
      </c>
      <c r="L191" s="21" t="str">
        <f aca="false">IF($A191="","",$K191*N($E191))</f>
        <v/>
      </c>
      <c r="M191" s="22" t="str">
        <f aca="false">IF($A191="","",IF($K191&lt;=0,"Rupture",IF($K191&lt;=N($H191),"À commander","OK")))</f>
        <v/>
      </c>
      <c r="N191" s="23"/>
      <c r="O191" s="23"/>
      <c r="P191" s="21" t="str">
        <f aca="false">IF($A191="","",IF($K191&lt;=N($H191),MAX(0,2*N($H191)-$K191),0))</f>
        <v/>
      </c>
    </row>
    <row r="192" customFormat="false" ht="15" hidden="false" customHeight="false" outlineLevel="0" collapsed="false">
      <c r="A192" s="23"/>
      <c r="B192" s="23"/>
      <c r="C192" s="23"/>
      <c r="D192" s="23"/>
      <c r="E192" s="24"/>
      <c r="F192" s="24"/>
      <c r="G192" s="24"/>
      <c r="H192" s="24"/>
      <c r="I192" s="21" t="str">
        <f aca="false">IF($A192="","",SUMIFS(Mouvements!$E$5:$E$1004,Mouvements!$B$5:$B$1004,$A192,Mouvements!$D$5:$D$1004,"Entrée"))</f>
        <v/>
      </c>
      <c r="J192" s="21" t="str">
        <f aca="false">IF($A192="","",SUMIFS(Mouvements!$E$5:$E$1004,Mouvements!$B$5:$B$1004,$A192,Mouvements!$D$5:$D$1004,"Sortie"))</f>
        <v/>
      </c>
      <c r="K192" s="21" t="str">
        <f aca="false">IF($A192="","",N($G192)+$I192-$J192)</f>
        <v/>
      </c>
      <c r="L192" s="21" t="str">
        <f aca="false">IF($A192="","",$K192*N($E192))</f>
        <v/>
      </c>
      <c r="M192" s="22" t="str">
        <f aca="false">IF($A192="","",IF($K192&lt;=0,"Rupture",IF($K192&lt;=N($H192),"À commander","OK")))</f>
        <v/>
      </c>
      <c r="N192" s="23"/>
      <c r="O192" s="23"/>
      <c r="P192" s="21" t="str">
        <f aca="false">IF($A192="","",IF($K192&lt;=N($H192),MAX(0,2*N($H192)-$K192),0))</f>
        <v/>
      </c>
    </row>
    <row r="193" customFormat="false" ht="15" hidden="false" customHeight="false" outlineLevel="0" collapsed="false">
      <c r="A193" s="23"/>
      <c r="B193" s="23"/>
      <c r="C193" s="23"/>
      <c r="D193" s="23"/>
      <c r="E193" s="24"/>
      <c r="F193" s="24"/>
      <c r="G193" s="24"/>
      <c r="H193" s="24"/>
      <c r="I193" s="21" t="str">
        <f aca="false">IF($A193="","",SUMIFS(Mouvements!$E$5:$E$1004,Mouvements!$B$5:$B$1004,$A193,Mouvements!$D$5:$D$1004,"Entrée"))</f>
        <v/>
      </c>
      <c r="J193" s="21" t="str">
        <f aca="false">IF($A193="","",SUMIFS(Mouvements!$E$5:$E$1004,Mouvements!$B$5:$B$1004,$A193,Mouvements!$D$5:$D$1004,"Sortie"))</f>
        <v/>
      </c>
      <c r="K193" s="21" t="str">
        <f aca="false">IF($A193="","",N($G193)+$I193-$J193)</f>
        <v/>
      </c>
      <c r="L193" s="21" t="str">
        <f aca="false">IF($A193="","",$K193*N($E193))</f>
        <v/>
      </c>
      <c r="M193" s="22" t="str">
        <f aca="false">IF($A193="","",IF($K193&lt;=0,"Rupture",IF($K193&lt;=N($H193),"À commander","OK")))</f>
        <v/>
      </c>
      <c r="N193" s="23"/>
      <c r="O193" s="23"/>
      <c r="P193" s="21" t="str">
        <f aca="false">IF($A193="","",IF($K193&lt;=N($H193),MAX(0,2*N($H193)-$K193),0))</f>
        <v/>
      </c>
    </row>
    <row r="194" customFormat="false" ht="15" hidden="false" customHeight="false" outlineLevel="0" collapsed="false">
      <c r="A194" s="23"/>
      <c r="B194" s="23"/>
      <c r="C194" s="23"/>
      <c r="D194" s="23"/>
      <c r="E194" s="24"/>
      <c r="F194" s="24"/>
      <c r="G194" s="24"/>
      <c r="H194" s="24"/>
      <c r="I194" s="21" t="str">
        <f aca="false">IF($A194="","",SUMIFS(Mouvements!$E$5:$E$1004,Mouvements!$B$5:$B$1004,$A194,Mouvements!$D$5:$D$1004,"Entrée"))</f>
        <v/>
      </c>
      <c r="J194" s="21" t="str">
        <f aca="false">IF($A194="","",SUMIFS(Mouvements!$E$5:$E$1004,Mouvements!$B$5:$B$1004,$A194,Mouvements!$D$5:$D$1004,"Sortie"))</f>
        <v/>
      </c>
      <c r="K194" s="21" t="str">
        <f aca="false">IF($A194="","",N($G194)+$I194-$J194)</f>
        <v/>
      </c>
      <c r="L194" s="21" t="str">
        <f aca="false">IF($A194="","",$K194*N($E194))</f>
        <v/>
      </c>
      <c r="M194" s="22" t="str">
        <f aca="false">IF($A194="","",IF($K194&lt;=0,"Rupture",IF($K194&lt;=N($H194),"À commander","OK")))</f>
        <v/>
      </c>
      <c r="N194" s="23"/>
      <c r="O194" s="23"/>
      <c r="P194" s="21" t="str">
        <f aca="false">IF($A194="","",IF($K194&lt;=N($H194),MAX(0,2*N($H194)-$K194),0))</f>
        <v/>
      </c>
    </row>
    <row r="195" customFormat="false" ht="15" hidden="false" customHeight="false" outlineLevel="0" collapsed="false">
      <c r="A195" s="23"/>
      <c r="B195" s="23"/>
      <c r="C195" s="23"/>
      <c r="D195" s="23"/>
      <c r="E195" s="24"/>
      <c r="F195" s="24"/>
      <c r="G195" s="24"/>
      <c r="H195" s="24"/>
      <c r="I195" s="21" t="str">
        <f aca="false">IF($A195="","",SUMIFS(Mouvements!$E$5:$E$1004,Mouvements!$B$5:$B$1004,$A195,Mouvements!$D$5:$D$1004,"Entrée"))</f>
        <v/>
      </c>
      <c r="J195" s="21" t="str">
        <f aca="false">IF($A195="","",SUMIFS(Mouvements!$E$5:$E$1004,Mouvements!$B$5:$B$1004,$A195,Mouvements!$D$5:$D$1004,"Sortie"))</f>
        <v/>
      </c>
      <c r="K195" s="21" t="str">
        <f aca="false">IF($A195="","",N($G195)+$I195-$J195)</f>
        <v/>
      </c>
      <c r="L195" s="21" t="str">
        <f aca="false">IF($A195="","",$K195*N($E195))</f>
        <v/>
      </c>
      <c r="M195" s="22" t="str">
        <f aca="false">IF($A195="","",IF($K195&lt;=0,"Rupture",IF($K195&lt;=N($H195),"À commander","OK")))</f>
        <v/>
      </c>
      <c r="N195" s="23"/>
      <c r="O195" s="23"/>
      <c r="P195" s="21" t="str">
        <f aca="false">IF($A195="","",IF($K195&lt;=N($H195),MAX(0,2*N($H195)-$K195),0))</f>
        <v/>
      </c>
    </row>
    <row r="196" customFormat="false" ht="15" hidden="false" customHeight="false" outlineLevel="0" collapsed="false">
      <c r="A196" s="23"/>
      <c r="B196" s="23"/>
      <c r="C196" s="23"/>
      <c r="D196" s="23"/>
      <c r="E196" s="24"/>
      <c r="F196" s="24"/>
      <c r="G196" s="24"/>
      <c r="H196" s="24"/>
      <c r="I196" s="21" t="str">
        <f aca="false">IF($A196="","",SUMIFS(Mouvements!$E$5:$E$1004,Mouvements!$B$5:$B$1004,$A196,Mouvements!$D$5:$D$1004,"Entrée"))</f>
        <v/>
      </c>
      <c r="J196" s="21" t="str">
        <f aca="false">IF($A196="","",SUMIFS(Mouvements!$E$5:$E$1004,Mouvements!$B$5:$B$1004,$A196,Mouvements!$D$5:$D$1004,"Sortie"))</f>
        <v/>
      </c>
      <c r="K196" s="21" t="str">
        <f aca="false">IF($A196="","",N($G196)+$I196-$J196)</f>
        <v/>
      </c>
      <c r="L196" s="21" t="str">
        <f aca="false">IF($A196="","",$K196*N($E196))</f>
        <v/>
      </c>
      <c r="M196" s="22" t="str">
        <f aca="false">IF($A196="","",IF($K196&lt;=0,"Rupture",IF($K196&lt;=N($H196),"À commander","OK")))</f>
        <v/>
      </c>
      <c r="N196" s="23"/>
      <c r="O196" s="23"/>
      <c r="P196" s="21" t="str">
        <f aca="false">IF($A196="","",IF($K196&lt;=N($H196),MAX(0,2*N($H196)-$K196),0))</f>
        <v/>
      </c>
    </row>
    <row r="197" customFormat="false" ht="15" hidden="false" customHeight="false" outlineLevel="0" collapsed="false">
      <c r="A197" s="23"/>
      <c r="B197" s="23"/>
      <c r="C197" s="23"/>
      <c r="D197" s="23"/>
      <c r="E197" s="24"/>
      <c r="F197" s="24"/>
      <c r="G197" s="24"/>
      <c r="H197" s="24"/>
      <c r="I197" s="21" t="str">
        <f aca="false">IF($A197="","",SUMIFS(Mouvements!$E$5:$E$1004,Mouvements!$B$5:$B$1004,$A197,Mouvements!$D$5:$D$1004,"Entrée"))</f>
        <v/>
      </c>
      <c r="J197" s="21" t="str">
        <f aca="false">IF($A197="","",SUMIFS(Mouvements!$E$5:$E$1004,Mouvements!$B$5:$B$1004,$A197,Mouvements!$D$5:$D$1004,"Sortie"))</f>
        <v/>
      </c>
      <c r="K197" s="21" t="str">
        <f aca="false">IF($A197="","",N($G197)+$I197-$J197)</f>
        <v/>
      </c>
      <c r="L197" s="21" t="str">
        <f aca="false">IF($A197="","",$K197*N($E197))</f>
        <v/>
      </c>
      <c r="M197" s="22" t="str">
        <f aca="false">IF($A197="","",IF($K197&lt;=0,"Rupture",IF($K197&lt;=N($H197),"À commander","OK")))</f>
        <v/>
      </c>
      <c r="N197" s="23"/>
      <c r="O197" s="23"/>
      <c r="P197" s="21" t="str">
        <f aca="false">IF($A197="","",IF($K197&lt;=N($H197),MAX(0,2*N($H197)-$K197),0))</f>
        <v/>
      </c>
    </row>
    <row r="198" customFormat="false" ht="15" hidden="false" customHeight="false" outlineLevel="0" collapsed="false">
      <c r="A198" s="23"/>
      <c r="B198" s="23"/>
      <c r="C198" s="23"/>
      <c r="D198" s="23"/>
      <c r="E198" s="24"/>
      <c r="F198" s="24"/>
      <c r="G198" s="24"/>
      <c r="H198" s="24"/>
      <c r="I198" s="21" t="str">
        <f aca="false">IF($A198="","",SUMIFS(Mouvements!$E$5:$E$1004,Mouvements!$B$5:$B$1004,$A198,Mouvements!$D$5:$D$1004,"Entrée"))</f>
        <v/>
      </c>
      <c r="J198" s="21" t="str">
        <f aca="false">IF($A198="","",SUMIFS(Mouvements!$E$5:$E$1004,Mouvements!$B$5:$B$1004,$A198,Mouvements!$D$5:$D$1004,"Sortie"))</f>
        <v/>
      </c>
      <c r="K198" s="21" t="str">
        <f aca="false">IF($A198="","",N($G198)+$I198-$J198)</f>
        <v/>
      </c>
      <c r="L198" s="21" t="str">
        <f aca="false">IF($A198="","",$K198*N($E198))</f>
        <v/>
      </c>
      <c r="M198" s="22" t="str">
        <f aca="false">IF($A198="","",IF($K198&lt;=0,"Rupture",IF($K198&lt;=N($H198),"À commander","OK")))</f>
        <v/>
      </c>
      <c r="N198" s="23"/>
      <c r="O198" s="23"/>
      <c r="P198" s="21" t="str">
        <f aca="false">IF($A198="","",IF($K198&lt;=N($H198),MAX(0,2*N($H198)-$K198),0))</f>
        <v/>
      </c>
    </row>
    <row r="199" customFormat="false" ht="15" hidden="false" customHeight="false" outlineLevel="0" collapsed="false">
      <c r="A199" s="23"/>
      <c r="B199" s="23"/>
      <c r="C199" s="23"/>
      <c r="D199" s="23"/>
      <c r="E199" s="24"/>
      <c r="F199" s="24"/>
      <c r="G199" s="24"/>
      <c r="H199" s="24"/>
      <c r="I199" s="21" t="str">
        <f aca="false">IF($A199="","",SUMIFS(Mouvements!$E$5:$E$1004,Mouvements!$B$5:$B$1004,$A199,Mouvements!$D$5:$D$1004,"Entrée"))</f>
        <v/>
      </c>
      <c r="J199" s="21" t="str">
        <f aca="false">IF($A199="","",SUMIFS(Mouvements!$E$5:$E$1004,Mouvements!$B$5:$B$1004,$A199,Mouvements!$D$5:$D$1004,"Sortie"))</f>
        <v/>
      </c>
      <c r="K199" s="21" t="str">
        <f aca="false">IF($A199="","",N($G199)+$I199-$J199)</f>
        <v/>
      </c>
      <c r="L199" s="21" t="str">
        <f aca="false">IF($A199="","",$K199*N($E199))</f>
        <v/>
      </c>
      <c r="M199" s="22" t="str">
        <f aca="false">IF($A199="","",IF($K199&lt;=0,"Rupture",IF($K199&lt;=N($H199),"À commander","OK")))</f>
        <v/>
      </c>
      <c r="N199" s="23"/>
      <c r="O199" s="23"/>
      <c r="P199" s="21" t="str">
        <f aca="false">IF($A199="","",IF($K199&lt;=N($H199),MAX(0,2*N($H199)-$K199),0))</f>
        <v/>
      </c>
    </row>
    <row r="200" customFormat="false" ht="15" hidden="false" customHeight="false" outlineLevel="0" collapsed="false">
      <c r="A200" s="23"/>
      <c r="B200" s="23"/>
      <c r="C200" s="23"/>
      <c r="D200" s="23"/>
      <c r="E200" s="24"/>
      <c r="F200" s="24"/>
      <c r="G200" s="24"/>
      <c r="H200" s="24"/>
      <c r="I200" s="21" t="str">
        <f aca="false">IF($A200="","",SUMIFS(Mouvements!$E$5:$E$1004,Mouvements!$B$5:$B$1004,$A200,Mouvements!$D$5:$D$1004,"Entrée"))</f>
        <v/>
      </c>
      <c r="J200" s="21" t="str">
        <f aca="false">IF($A200="","",SUMIFS(Mouvements!$E$5:$E$1004,Mouvements!$B$5:$B$1004,$A200,Mouvements!$D$5:$D$1004,"Sortie"))</f>
        <v/>
      </c>
      <c r="K200" s="21" t="str">
        <f aca="false">IF($A200="","",N($G200)+$I200-$J200)</f>
        <v/>
      </c>
      <c r="L200" s="21" t="str">
        <f aca="false">IF($A200="","",$K200*N($E200))</f>
        <v/>
      </c>
      <c r="M200" s="22" t="str">
        <f aca="false">IF($A200="","",IF($K200&lt;=0,"Rupture",IF($K200&lt;=N($H200),"À commander","OK")))</f>
        <v/>
      </c>
      <c r="N200" s="23"/>
      <c r="O200" s="23"/>
      <c r="P200" s="21" t="str">
        <f aca="false">IF($A200="","",IF($K200&lt;=N($H200),MAX(0,2*N($H200)-$K200),0))</f>
        <v/>
      </c>
    </row>
    <row r="201" customFormat="false" ht="15" hidden="false" customHeight="false" outlineLevel="0" collapsed="false">
      <c r="A201" s="23"/>
      <c r="B201" s="23"/>
      <c r="C201" s="23"/>
      <c r="D201" s="23"/>
      <c r="E201" s="24"/>
      <c r="F201" s="24"/>
      <c r="G201" s="24"/>
      <c r="H201" s="24"/>
      <c r="I201" s="21" t="str">
        <f aca="false">IF($A201="","",SUMIFS(Mouvements!$E$5:$E$1004,Mouvements!$B$5:$B$1004,$A201,Mouvements!$D$5:$D$1004,"Entrée"))</f>
        <v/>
      </c>
      <c r="J201" s="21" t="str">
        <f aca="false">IF($A201="","",SUMIFS(Mouvements!$E$5:$E$1004,Mouvements!$B$5:$B$1004,$A201,Mouvements!$D$5:$D$1004,"Sortie"))</f>
        <v/>
      </c>
      <c r="K201" s="21" t="str">
        <f aca="false">IF($A201="","",N($G201)+$I201-$J201)</f>
        <v/>
      </c>
      <c r="L201" s="21" t="str">
        <f aca="false">IF($A201="","",$K201*N($E201))</f>
        <v/>
      </c>
      <c r="M201" s="22" t="str">
        <f aca="false">IF($A201="","",IF($K201&lt;=0,"Rupture",IF($K201&lt;=N($H201),"À commander","OK")))</f>
        <v/>
      </c>
      <c r="N201" s="23"/>
      <c r="O201" s="23"/>
      <c r="P201" s="21" t="str">
        <f aca="false">IF($A201="","",IF($K201&lt;=N($H201),MAX(0,2*N($H201)-$K201),0))</f>
        <v/>
      </c>
    </row>
    <row r="202" customFormat="false" ht="15" hidden="false" customHeight="false" outlineLevel="0" collapsed="false">
      <c r="A202" s="23"/>
      <c r="B202" s="23"/>
      <c r="C202" s="23"/>
      <c r="D202" s="23"/>
      <c r="E202" s="24"/>
      <c r="F202" s="24"/>
      <c r="G202" s="24"/>
      <c r="H202" s="24"/>
      <c r="I202" s="21" t="str">
        <f aca="false">IF($A202="","",SUMIFS(Mouvements!$E$5:$E$1004,Mouvements!$B$5:$B$1004,$A202,Mouvements!$D$5:$D$1004,"Entrée"))</f>
        <v/>
      </c>
      <c r="J202" s="21" t="str">
        <f aca="false">IF($A202="","",SUMIFS(Mouvements!$E$5:$E$1004,Mouvements!$B$5:$B$1004,$A202,Mouvements!$D$5:$D$1004,"Sortie"))</f>
        <v/>
      </c>
      <c r="K202" s="21" t="str">
        <f aca="false">IF($A202="","",N($G202)+$I202-$J202)</f>
        <v/>
      </c>
      <c r="L202" s="21" t="str">
        <f aca="false">IF($A202="","",$K202*N($E202))</f>
        <v/>
      </c>
      <c r="M202" s="22" t="str">
        <f aca="false">IF($A202="","",IF($K202&lt;=0,"Rupture",IF($K202&lt;=N($H202),"À commander","OK")))</f>
        <v/>
      </c>
      <c r="N202" s="23"/>
      <c r="O202" s="23"/>
      <c r="P202" s="21" t="str">
        <f aca="false">IF($A202="","",IF($K202&lt;=N($H202),MAX(0,2*N($H202)-$K202),0))</f>
        <v/>
      </c>
    </row>
    <row r="203" customFormat="false" ht="15" hidden="false" customHeight="false" outlineLevel="0" collapsed="false">
      <c r="A203" s="23"/>
      <c r="B203" s="23"/>
      <c r="C203" s="23"/>
      <c r="D203" s="23"/>
      <c r="E203" s="24"/>
      <c r="F203" s="24"/>
      <c r="G203" s="24"/>
      <c r="H203" s="24"/>
      <c r="I203" s="21" t="str">
        <f aca="false">IF($A203="","",SUMIFS(Mouvements!$E$5:$E$1004,Mouvements!$B$5:$B$1004,$A203,Mouvements!$D$5:$D$1004,"Entrée"))</f>
        <v/>
      </c>
      <c r="J203" s="21" t="str">
        <f aca="false">IF($A203="","",SUMIFS(Mouvements!$E$5:$E$1004,Mouvements!$B$5:$B$1004,$A203,Mouvements!$D$5:$D$1004,"Sortie"))</f>
        <v/>
      </c>
      <c r="K203" s="21" t="str">
        <f aca="false">IF($A203="","",N($G203)+$I203-$J203)</f>
        <v/>
      </c>
      <c r="L203" s="21" t="str">
        <f aca="false">IF($A203="","",$K203*N($E203))</f>
        <v/>
      </c>
      <c r="M203" s="22" t="str">
        <f aca="false">IF($A203="","",IF($K203&lt;=0,"Rupture",IF($K203&lt;=N($H203),"À commander","OK")))</f>
        <v/>
      </c>
      <c r="N203" s="23"/>
      <c r="O203" s="23"/>
      <c r="P203" s="21" t="str">
        <f aca="false">IF($A203="","",IF($K203&lt;=N($H203),MAX(0,2*N($H203)-$K203),0))</f>
        <v/>
      </c>
    </row>
    <row r="204" customFormat="false" ht="15" hidden="false" customHeight="false" outlineLevel="0" collapsed="false">
      <c r="A204" s="23"/>
      <c r="B204" s="23"/>
      <c r="C204" s="23"/>
      <c r="D204" s="23"/>
      <c r="E204" s="24"/>
      <c r="F204" s="24"/>
      <c r="G204" s="24"/>
      <c r="H204" s="24"/>
      <c r="I204" s="21" t="str">
        <f aca="false">IF($A204="","",SUMIFS(Mouvements!$E$5:$E$1004,Mouvements!$B$5:$B$1004,$A204,Mouvements!$D$5:$D$1004,"Entrée"))</f>
        <v/>
      </c>
      <c r="J204" s="21" t="str">
        <f aca="false">IF($A204="","",SUMIFS(Mouvements!$E$5:$E$1004,Mouvements!$B$5:$B$1004,$A204,Mouvements!$D$5:$D$1004,"Sortie"))</f>
        <v/>
      </c>
      <c r="K204" s="21" t="str">
        <f aca="false">IF($A204="","",N($G204)+$I204-$J204)</f>
        <v/>
      </c>
      <c r="L204" s="21" t="str">
        <f aca="false">IF($A204="","",$K204*N($E204))</f>
        <v/>
      </c>
      <c r="M204" s="22" t="str">
        <f aca="false">IF($A204="","",IF($K204&lt;=0,"Rupture",IF($K204&lt;=N($H204),"À commander","OK")))</f>
        <v/>
      </c>
      <c r="N204" s="23"/>
      <c r="O204" s="23"/>
      <c r="P204" s="21" t="str">
        <f aca="false">IF($A204="","",IF($K204&lt;=N($H204),MAX(0,2*N($H204)-$K204),0))</f>
        <v/>
      </c>
    </row>
  </sheetData>
  <conditionalFormatting sqref="M5:M204">
    <cfRule type="cellIs" priority="2" operator="equal" aboveAverage="0" equalAverage="0" bottom="0" percent="0" rank="0" text="" dxfId="2">
      <formula>"Rupture"</formula>
    </cfRule>
    <cfRule type="cellIs" priority="3" operator="equal" aboveAverage="0" equalAverage="0" bottom="0" percent="0" rank="0" text="" dxfId="3">
      <formula>"À commander"</formula>
    </cfRule>
    <cfRule type="cellIs" priority="4" operator="equal" aboveAverage="0" equalAverage="0" bottom="0" percent="0" rank="0" text="" dxfId="4">
      <formula>"OK"</formula>
    </cfRule>
  </conditionalFormatting>
  <dataValidations count="1">
    <dataValidation allowBlank="false" error="Ce code existe déjà. Chaque produit doit avoir un code unique." errorStyle="stop" errorTitle="Code en double" operator="between" showDropDown="false" showErrorMessage="true" showInputMessage="false" sqref="A5:A204" type="custom">
      <formula1>COUNTIF($A$5:$A$204,A5)=1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5.5" hidden="false" customHeight="true" outlineLevel="0" collapsed="false">
      <c r="A1" s="16" t="s">
        <v>64</v>
      </c>
    </row>
    <row r="2" customFormat="false" ht="15" hidden="false" customHeight="false" outlineLevel="0" collapsed="false">
      <c r="A2" s="17" t="s">
        <v>65</v>
      </c>
    </row>
    <row r="4" customFormat="false" ht="31.5" hidden="false" customHeight="true" outlineLevel="0" collapsed="false">
      <c r="A4" s="18" t="s">
        <v>66</v>
      </c>
      <c r="B4" s="18" t="s">
        <v>67</v>
      </c>
      <c r="C4" s="18" t="s">
        <v>40</v>
      </c>
      <c r="D4" s="18" t="s">
        <v>68</v>
      </c>
      <c r="E4" s="18" t="s">
        <v>69</v>
      </c>
      <c r="F4" s="18" t="s">
        <v>70</v>
      </c>
      <c r="G4" s="18" t="s">
        <v>71</v>
      </c>
      <c r="H4" s="18" t="s">
        <v>72</v>
      </c>
      <c r="I4" s="18" t="s">
        <v>73</v>
      </c>
    </row>
    <row r="5" customFormat="false" ht="15" hidden="false" customHeight="false" outlineLevel="0" collapsed="false">
      <c r="A5" s="25" t="n">
        <v>46306</v>
      </c>
      <c r="B5" s="19" t="s">
        <v>55</v>
      </c>
      <c r="C5" s="26" t="str">
        <f aca="false">IF($B5="","",IFERROR(INDEX(Produits!$B$5:$B$204,MATCH($B5,Produits!$A$5:$A$204,0)),"Code inconnu"))</f>
        <v>EXEMPLE - Riz 25 kg</v>
      </c>
      <c r="D5" s="19" t="s">
        <v>74</v>
      </c>
      <c r="E5" s="20" t="n">
        <v>10</v>
      </c>
      <c r="F5" s="21" t="n">
        <f aca="false">IF(OR($B5="",$D5=""),"",IFERROR(IF($D5="Entrée",INDEX(Produits!$E$5:$E$204,MATCH($B5,Produits!$A$5:$A$204,0)),INDEX(Produits!$F$5:$F$204,MATCH($B5,Produits!$A$5:$A$204,0))),""))</f>
        <v>30</v>
      </c>
      <c r="G5" s="21" t="n">
        <f aca="false">IF(OR($F5="",$E5=""),"",$E5*$F5)</f>
        <v>300</v>
      </c>
      <c r="H5" s="21" t="str">
        <f aca="false">IF(AND($D5="Sortie",$B5&lt;&gt;"",$E5&lt;&gt;""),IFERROR($E5*INDEX(Produits!$E$5:$E$204,MATCH($B5,Produits!$A$5:$A$204,0)),""),"")</f>
        <v/>
      </c>
      <c r="I5" s="19" t="s">
        <v>75</v>
      </c>
    </row>
    <row r="6" customFormat="false" ht="15" hidden="false" customHeight="false" outlineLevel="0" collapsed="false">
      <c r="A6" s="25" t="n">
        <v>46306</v>
      </c>
      <c r="B6" s="19" t="s">
        <v>55</v>
      </c>
      <c r="C6" s="26" t="str">
        <f aca="false">IF($B6="","",IFERROR(INDEX(Produits!$B$5:$B$204,MATCH($B6,Produits!$A$5:$A$204,0)),"Code inconnu"))</f>
        <v>EXEMPLE - Riz 25 kg</v>
      </c>
      <c r="D6" s="19" t="s">
        <v>76</v>
      </c>
      <c r="E6" s="20" t="n">
        <v>4</v>
      </c>
      <c r="F6" s="21" t="n">
        <f aca="false">IF(OR($B6="",$D6=""),"",IFERROR(IF($D6="Entrée",INDEX(Produits!$E$5:$E$204,MATCH($B6,Produits!$A$5:$A$204,0)),INDEX(Produits!$F$5:$F$204,MATCH($B6,Produits!$A$5:$A$204,0))),""))</f>
        <v>36</v>
      </c>
      <c r="G6" s="21" t="n">
        <f aca="false">IF(OR($F6="",$E6=""),"",$E6*$F6)</f>
        <v>144</v>
      </c>
      <c r="H6" s="21" t="n">
        <f aca="false">IF(AND($D6="Sortie",$B6&lt;&gt;"",$E6&lt;&gt;""),IFERROR($E6*INDEX(Produits!$E$5:$E$204,MATCH($B6,Produits!$A$5:$A$204,0)),""),"")</f>
        <v>120</v>
      </c>
      <c r="I6" s="19" t="s">
        <v>77</v>
      </c>
    </row>
    <row r="7" customFormat="false" ht="15" hidden="false" customHeight="false" outlineLevel="0" collapsed="false">
      <c r="A7" s="25" t="n">
        <v>46306</v>
      </c>
      <c r="B7" s="19" t="s">
        <v>60</v>
      </c>
      <c r="C7" s="26" t="str">
        <f aca="false">IF($B7="","",IFERROR(INDEX(Produits!$B$5:$B$204,MATCH($B7,Produits!$A$5:$A$204,0)),"Code inconnu"))</f>
        <v>EXEMPLE - Huile 5 L</v>
      </c>
      <c r="D7" s="19" t="s">
        <v>76</v>
      </c>
      <c r="E7" s="20" t="n">
        <v>7</v>
      </c>
      <c r="F7" s="21" t="n">
        <f aca="false">IF(OR($B7="",$D7=""),"",IFERROR(IF($D7="Entrée",INDEX(Produits!$E$5:$E$204,MATCH($B7,Produits!$A$5:$A$204,0)),INDEX(Produits!$F$5:$F$204,MATCH($B7,Produits!$A$5:$A$204,0))),""))</f>
        <v>15</v>
      </c>
      <c r="G7" s="21" t="n">
        <f aca="false">IF(OR($F7="",$E7=""),"",$E7*$F7)</f>
        <v>105</v>
      </c>
      <c r="H7" s="21" t="n">
        <f aca="false">IF(AND($D7="Sortie",$B7&lt;&gt;"",$E7&lt;&gt;""),IFERROR($E7*INDEX(Produits!$E$5:$E$204,MATCH($B7,Produits!$A$5:$A$204,0)),""),"")</f>
        <v>84</v>
      </c>
      <c r="I7" s="19" t="s">
        <v>77</v>
      </c>
    </row>
    <row r="8" customFormat="false" ht="15" hidden="false" customHeight="false" outlineLevel="0" collapsed="false">
      <c r="A8" s="27"/>
      <c r="B8" s="23"/>
      <c r="C8" s="26" t="str">
        <f aca="false">IF($B8="","",IFERROR(INDEX(Produits!$B$5:$B$204,MATCH($B8,Produits!$A$5:$A$204,0)),"Code inconnu"))</f>
        <v/>
      </c>
      <c r="D8" s="23"/>
      <c r="E8" s="24"/>
      <c r="F8" s="21" t="str">
        <f aca="false">IF(OR($B8="",$D8=""),"",IFERROR(IF($D8="Entrée",INDEX(Produits!$E$5:$E$204,MATCH($B8,Produits!$A$5:$A$204,0)),INDEX(Produits!$F$5:$F$204,MATCH($B8,Produits!$A$5:$A$204,0))),""))</f>
        <v/>
      </c>
      <c r="G8" s="21" t="str">
        <f aca="false">IF(OR($F8="",$E8=""),"",$E8*$F8)</f>
        <v/>
      </c>
      <c r="H8" s="21" t="str">
        <f aca="false">IF(AND($D8="Sortie",$B8&lt;&gt;"",$E8&lt;&gt;""),IFERROR($E8*INDEX(Produits!$E$5:$E$204,MATCH($B8,Produits!$A$5:$A$204,0)),""),"")</f>
        <v/>
      </c>
      <c r="I8" s="23"/>
    </row>
    <row r="9" customFormat="false" ht="15" hidden="false" customHeight="false" outlineLevel="0" collapsed="false">
      <c r="A9" s="27"/>
      <c r="B9" s="23"/>
      <c r="C9" s="26" t="str">
        <f aca="false">IF($B9="","",IFERROR(INDEX(Produits!$B$5:$B$204,MATCH($B9,Produits!$A$5:$A$204,0)),"Code inconnu"))</f>
        <v/>
      </c>
      <c r="D9" s="23"/>
      <c r="E9" s="24"/>
      <c r="F9" s="21" t="str">
        <f aca="false">IF(OR($B9="",$D9=""),"",IFERROR(IF($D9="Entrée",INDEX(Produits!$E$5:$E$204,MATCH($B9,Produits!$A$5:$A$204,0)),INDEX(Produits!$F$5:$F$204,MATCH($B9,Produits!$A$5:$A$204,0))),""))</f>
        <v/>
      </c>
      <c r="G9" s="21" t="str">
        <f aca="false">IF(OR($F9="",$E9=""),"",$E9*$F9)</f>
        <v/>
      </c>
      <c r="H9" s="21" t="str">
        <f aca="false">IF(AND($D9="Sortie",$B9&lt;&gt;"",$E9&lt;&gt;""),IFERROR($E9*INDEX(Produits!$E$5:$E$204,MATCH($B9,Produits!$A$5:$A$204,0)),""),"")</f>
        <v/>
      </c>
      <c r="I9" s="23"/>
    </row>
    <row r="10" customFormat="false" ht="15" hidden="false" customHeight="false" outlineLevel="0" collapsed="false">
      <c r="A10" s="27"/>
      <c r="B10" s="23"/>
      <c r="C10" s="26" t="str">
        <f aca="false">IF($B10="","",IFERROR(INDEX(Produits!$B$5:$B$204,MATCH($B10,Produits!$A$5:$A$204,0)),"Code inconnu"))</f>
        <v/>
      </c>
      <c r="D10" s="23"/>
      <c r="E10" s="24"/>
      <c r="F10" s="21" t="str">
        <f aca="false">IF(OR($B10="",$D10=""),"",IFERROR(IF($D10="Entrée",INDEX(Produits!$E$5:$E$204,MATCH($B10,Produits!$A$5:$A$204,0)),INDEX(Produits!$F$5:$F$204,MATCH($B10,Produits!$A$5:$A$204,0))),""))</f>
        <v/>
      </c>
      <c r="G10" s="21" t="str">
        <f aca="false">IF(OR($F10="",$E10=""),"",$E10*$F10)</f>
        <v/>
      </c>
      <c r="H10" s="21" t="str">
        <f aca="false">IF(AND($D10="Sortie",$B10&lt;&gt;"",$E10&lt;&gt;""),IFERROR($E10*INDEX(Produits!$E$5:$E$204,MATCH($B10,Produits!$A$5:$A$204,0)),""),"")</f>
        <v/>
      </c>
      <c r="I10" s="23"/>
    </row>
    <row r="11" customFormat="false" ht="15" hidden="false" customHeight="false" outlineLevel="0" collapsed="false">
      <c r="A11" s="27"/>
      <c r="B11" s="23"/>
      <c r="C11" s="26" t="str">
        <f aca="false">IF($B11="","",IFERROR(INDEX(Produits!$B$5:$B$204,MATCH($B11,Produits!$A$5:$A$204,0)),"Code inconnu"))</f>
        <v/>
      </c>
      <c r="D11" s="23"/>
      <c r="E11" s="24"/>
      <c r="F11" s="21" t="str">
        <f aca="false">IF(OR($B11="",$D11=""),"",IFERROR(IF($D11="Entrée",INDEX(Produits!$E$5:$E$204,MATCH($B11,Produits!$A$5:$A$204,0)),INDEX(Produits!$F$5:$F$204,MATCH($B11,Produits!$A$5:$A$204,0))),""))</f>
        <v/>
      </c>
      <c r="G11" s="21" t="str">
        <f aca="false">IF(OR($F11="",$E11=""),"",$E11*$F11)</f>
        <v/>
      </c>
      <c r="H11" s="21" t="str">
        <f aca="false">IF(AND($D11="Sortie",$B11&lt;&gt;"",$E11&lt;&gt;""),IFERROR($E11*INDEX(Produits!$E$5:$E$204,MATCH($B11,Produits!$A$5:$A$204,0)),""),"")</f>
        <v/>
      </c>
      <c r="I11" s="23"/>
    </row>
    <row r="12" customFormat="false" ht="15" hidden="false" customHeight="false" outlineLevel="0" collapsed="false">
      <c r="A12" s="27"/>
      <c r="B12" s="23"/>
      <c r="C12" s="26" t="str">
        <f aca="false">IF($B12="","",IFERROR(INDEX(Produits!$B$5:$B$204,MATCH($B12,Produits!$A$5:$A$204,0)),"Code inconnu"))</f>
        <v/>
      </c>
      <c r="D12" s="23"/>
      <c r="E12" s="24"/>
      <c r="F12" s="21" t="str">
        <f aca="false">IF(OR($B12="",$D12=""),"",IFERROR(IF($D12="Entrée",INDEX(Produits!$E$5:$E$204,MATCH($B12,Produits!$A$5:$A$204,0)),INDEX(Produits!$F$5:$F$204,MATCH($B12,Produits!$A$5:$A$204,0))),""))</f>
        <v/>
      </c>
      <c r="G12" s="21" t="str">
        <f aca="false">IF(OR($F12="",$E12=""),"",$E12*$F12)</f>
        <v/>
      </c>
      <c r="H12" s="21" t="str">
        <f aca="false">IF(AND($D12="Sortie",$B12&lt;&gt;"",$E12&lt;&gt;""),IFERROR($E12*INDEX(Produits!$E$5:$E$204,MATCH($B12,Produits!$A$5:$A$204,0)),""),"")</f>
        <v/>
      </c>
      <c r="I12" s="23"/>
    </row>
    <row r="13" customFormat="false" ht="15" hidden="false" customHeight="false" outlineLevel="0" collapsed="false">
      <c r="A13" s="27"/>
      <c r="B13" s="23"/>
      <c r="C13" s="26" t="str">
        <f aca="false">IF($B13="","",IFERROR(INDEX(Produits!$B$5:$B$204,MATCH($B13,Produits!$A$5:$A$204,0)),"Code inconnu"))</f>
        <v/>
      </c>
      <c r="D13" s="23"/>
      <c r="E13" s="24"/>
      <c r="F13" s="21" t="str">
        <f aca="false">IF(OR($B13="",$D13=""),"",IFERROR(IF($D13="Entrée",INDEX(Produits!$E$5:$E$204,MATCH($B13,Produits!$A$5:$A$204,0)),INDEX(Produits!$F$5:$F$204,MATCH($B13,Produits!$A$5:$A$204,0))),""))</f>
        <v/>
      </c>
      <c r="G13" s="21" t="str">
        <f aca="false">IF(OR($F13="",$E13=""),"",$E13*$F13)</f>
        <v/>
      </c>
      <c r="H13" s="21" t="str">
        <f aca="false">IF(AND($D13="Sortie",$B13&lt;&gt;"",$E13&lt;&gt;""),IFERROR($E13*INDEX(Produits!$E$5:$E$204,MATCH($B13,Produits!$A$5:$A$204,0)),""),"")</f>
        <v/>
      </c>
      <c r="I13" s="23"/>
    </row>
    <row r="14" customFormat="false" ht="15" hidden="false" customHeight="false" outlineLevel="0" collapsed="false">
      <c r="A14" s="27"/>
      <c r="B14" s="23"/>
      <c r="C14" s="26" t="str">
        <f aca="false">IF($B14="","",IFERROR(INDEX(Produits!$B$5:$B$204,MATCH($B14,Produits!$A$5:$A$204,0)),"Code inconnu"))</f>
        <v/>
      </c>
      <c r="D14" s="23"/>
      <c r="E14" s="24"/>
      <c r="F14" s="21" t="str">
        <f aca="false">IF(OR($B14="",$D14=""),"",IFERROR(IF($D14="Entrée",INDEX(Produits!$E$5:$E$204,MATCH($B14,Produits!$A$5:$A$204,0)),INDEX(Produits!$F$5:$F$204,MATCH($B14,Produits!$A$5:$A$204,0))),""))</f>
        <v/>
      </c>
      <c r="G14" s="21" t="str">
        <f aca="false">IF(OR($F14="",$E14=""),"",$E14*$F14)</f>
        <v/>
      </c>
      <c r="H14" s="21" t="str">
        <f aca="false">IF(AND($D14="Sortie",$B14&lt;&gt;"",$E14&lt;&gt;""),IFERROR($E14*INDEX(Produits!$E$5:$E$204,MATCH($B14,Produits!$A$5:$A$204,0)),""),"")</f>
        <v/>
      </c>
      <c r="I14" s="23"/>
    </row>
    <row r="15" customFormat="false" ht="15" hidden="false" customHeight="false" outlineLevel="0" collapsed="false">
      <c r="A15" s="27"/>
      <c r="B15" s="23"/>
      <c r="C15" s="26" t="str">
        <f aca="false">IF($B15="","",IFERROR(INDEX(Produits!$B$5:$B$204,MATCH($B15,Produits!$A$5:$A$204,0)),"Code inconnu"))</f>
        <v/>
      </c>
      <c r="D15" s="23"/>
      <c r="E15" s="24"/>
      <c r="F15" s="21" t="str">
        <f aca="false">IF(OR($B15="",$D15=""),"",IFERROR(IF($D15="Entrée",INDEX(Produits!$E$5:$E$204,MATCH($B15,Produits!$A$5:$A$204,0)),INDEX(Produits!$F$5:$F$204,MATCH($B15,Produits!$A$5:$A$204,0))),""))</f>
        <v/>
      </c>
      <c r="G15" s="21" t="str">
        <f aca="false">IF(OR($F15="",$E15=""),"",$E15*$F15)</f>
        <v/>
      </c>
      <c r="H15" s="21" t="str">
        <f aca="false">IF(AND($D15="Sortie",$B15&lt;&gt;"",$E15&lt;&gt;""),IFERROR($E15*INDEX(Produits!$E$5:$E$204,MATCH($B15,Produits!$A$5:$A$204,0)),""),"")</f>
        <v/>
      </c>
      <c r="I15" s="23"/>
    </row>
    <row r="16" customFormat="false" ht="15" hidden="false" customHeight="false" outlineLevel="0" collapsed="false">
      <c r="A16" s="27"/>
      <c r="B16" s="23"/>
      <c r="C16" s="26" t="str">
        <f aca="false">IF($B16="","",IFERROR(INDEX(Produits!$B$5:$B$204,MATCH($B16,Produits!$A$5:$A$204,0)),"Code inconnu"))</f>
        <v/>
      </c>
      <c r="D16" s="23"/>
      <c r="E16" s="24"/>
      <c r="F16" s="21" t="str">
        <f aca="false">IF(OR($B16="",$D16=""),"",IFERROR(IF($D16="Entrée",INDEX(Produits!$E$5:$E$204,MATCH($B16,Produits!$A$5:$A$204,0)),INDEX(Produits!$F$5:$F$204,MATCH($B16,Produits!$A$5:$A$204,0))),""))</f>
        <v/>
      </c>
      <c r="G16" s="21" t="str">
        <f aca="false">IF(OR($F16="",$E16=""),"",$E16*$F16)</f>
        <v/>
      </c>
      <c r="H16" s="21" t="str">
        <f aca="false">IF(AND($D16="Sortie",$B16&lt;&gt;"",$E16&lt;&gt;""),IFERROR($E16*INDEX(Produits!$E$5:$E$204,MATCH($B16,Produits!$A$5:$A$204,0)),""),"")</f>
        <v/>
      </c>
      <c r="I16" s="23"/>
    </row>
    <row r="17" customFormat="false" ht="15" hidden="false" customHeight="false" outlineLevel="0" collapsed="false">
      <c r="A17" s="27"/>
      <c r="B17" s="23"/>
      <c r="C17" s="26" t="str">
        <f aca="false">IF($B17="","",IFERROR(INDEX(Produits!$B$5:$B$204,MATCH($B17,Produits!$A$5:$A$204,0)),"Code inconnu"))</f>
        <v/>
      </c>
      <c r="D17" s="23"/>
      <c r="E17" s="24"/>
      <c r="F17" s="21" t="str">
        <f aca="false">IF(OR($B17="",$D17=""),"",IFERROR(IF($D17="Entrée",INDEX(Produits!$E$5:$E$204,MATCH($B17,Produits!$A$5:$A$204,0)),INDEX(Produits!$F$5:$F$204,MATCH($B17,Produits!$A$5:$A$204,0))),""))</f>
        <v/>
      </c>
      <c r="G17" s="21" t="str">
        <f aca="false">IF(OR($F17="",$E17=""),"",$E17*$F17)</f>
        <v/>
      </c>
      <c r="H17" s="21" t="str">
        <f aca="false">IF(AND($D17="Sortie",$B17&lt;&gt;"",$E17&lt;&gt;""),IFERROR($E17*INDEX(Produits!$E$5:$E$204,MATCH($B17,Produits!$A$5:$A$204,0)),""),"")</f>
        <v/>
      </c>
      <c r="I17" s="23"/>
    </row>
    <row r="18" customFormat="false" ht="15" hidden="false" customHeight="false" outlineLevel="0" collapsed="false">
      <c r="A18" s="27"/>
      <c r="B18" s="23"/>
      <c r="C18" s="26" t="str">
        <f aca="false">IF($B18="","",IFERROR(INDEX(Produits!$B$5:$B$204,MATCH($B18,Produits!$A$5:$A$204,0)),"Code inconnu"))</f>
        <v/>
      </c>
      <c r="D18" s="23"/>
      <c r="E18" s="24"/>
      <c r="F18" s="21" t="str">
        <f aca="false">IF(OR($B18="",$D18=""),"",IFERROR(IF($D18="Entrée",INDEX(Produits!$E$5:$E$204,MATCH($B18,Produits!$A$5:$A$204,0)),INDEX(Produits!$F$5:$F$204,MATCH($B18,Produits!$A$5:$A$204,0))),""))</f>
        <v/>
      </c>
      <c r="G18" s="21" t="str">
        <f aca="false">IF(OR($F18="",$E18=""),"",$E18*$F18)</f>
        <v/>
      </c>
      <c r="H18" s="21" t="str">
        <f aca="false">IF(AND($D18="Sortie",$B18&lt;&gt;"",$E18&lt;&gt;""),IFERROR($E18*INDEX(Produits!$E$5:$E$204,MATCH($B18,Produits!$A$5:$A$204,0)),""),"")</f>
        <v/>
      </c>
      <c r="I18" s="23"/>
    </row>
    <row r="19" customFormat="false" ht="15" hidden="false" customHeight="false" outlineLevel="0" collapsed="false">
      <c r="A19" s="27"/>
      <c r="B19" s="23"/>
      <c r="C19" s="26" t="str">
        <f aca="false">IF($B19="","",IFERROR(INDEX(Produits!$B$5:$B$204,MATCH($B19,Produits!$A$5:$A$204,0)),"Code inconnu"))</f>
        <v/>
      </c>
      <c r="D19" s="23"/>
      <c r="E19" s="24"/>
      <c r="F19" s="21" t="str">
        <f aca="false">IF(OR($B19="",$D19=""),"",IFERROR(IF($D19="Entrée",INDEX(Produits!$E$5:$E$204,MATCH($B19,Produits!$A$5:$A$204,0)),INDEX(Produits!$F$5:$F$204,MATCH($B19,Produits!$A$5:$A$204,0))),""))</f>
        <v/>
      </c>
      <c r="G19" s="21" t="str">
        <f aca="false">IF(OR($F19="",$E19=""),"",$E19*$F19)</f>
        <v/>
      </c>
      <c r="H19" s="21" t="str">
        <f aca="false">IF(AND($D19="Sortie",$B19&lt;&gt;"",$E19&lt;&gt;""),IFERROR($E19*INDEX(Produits!$E$5:$E$204,MATCH($B19,Produits!$A$5:$A$204,0)),""),"")</f>
        <v/>
      </c>
      <c r="I19" s="23"/>
    </row>
    <row r="20" customFormat="false" ht="15" hidden="false" customHeight="false" outlineLevel="0" collapsed="false">
      <c r="A20" s="27"/>
      <c r="B20" s="23"/>
      <c r="C20" s="26" t="str">
        <f aca="false">IF($B20="","",IFERROR(INDEX(Produits!$B$5:$B$204,MATCH($B20,Produits!$A$5:$A$204,0)),"Code inconnu"))</f>
        <v/>
      </c>
      <c r="D20" s="23"/>
      <c r="E20" s="24"/>
      <c r="F20" s="21" t="str">
        <f aca="false">IF(OR($B20="",$D20=""),"",IFERROR(IF($D20="Entrée",INDEX(Produits!$E$5:$E$204,MATCH($B20,Produits!$A$5:$A$204,0)),INDEX(Produits!$F$5:$F$204,MATCH($B20,Produits!$A$5:$A$204,0))),""))</f>
        <v/>
      </c>
      <c r="G20" s="21" t="str">
        <f aca="false">IF(OR($F20="",$E20=""),"",$E20*$F20)</f>
        <v/>
      </c>
      <c r="H20" s="21" t="str">
        <f aca="false">IF(AND($D20="Sortie",$B20&lt;&gt;"",$E20&lt;&gt;""),IFERROR($E20*INDEX(Produits!$E$5:$E$204,MATCH($B20,Produits!$A$5:$A$204,0)),""),"")</f>
        <v/>
      </c>
      <c r="I20" s="23"/>
    </row>
    <row r="21" customFormat="false" ht="15" hidden="false" customHeight="false" outlineLevel="0" collapsed="false">
      <c r="A21" s="27"/>
      <c r="B21" s="23"/>
      <c r="C21" s="26" t="str">
        <f aca="false">IF($B21="","",IFERROR(INDEX(Produits!$B$5:$B$204,MATCH($B21,Produits!$A$5:$A$204,0)),"Code inconnu"))</f>
        <v/>
      </c>
      <c r="D21" s="23"/>
      <c r="E21" s="24"/>
      <c r="F21" s="21" t="str">
        <f aca="false">IF(OR($B21="",$D21=""),"",IFERROR(IF($D21="Entrée",INDEX(Produits!$E$5:$E$204,MATCH($B21,Produits!$A$5:$A$204,0)),INDEX(Produits!$F$5:$F$204,MATCH($B21,Produits!$A$5:$A$204,0))),""))</f>
        <v/>
      </c>
      <c r="G21" s="21" t="str">
        <f aca="false">IF(OR($F21="",$E21=""),"",$E21*$F21)</f>
        <v/>
      </c>
      <c r="H21" s="21" t="str">
        <f aca="false">IF(AND($D21="Sortie",$B21&lt;&gt;"",$E21&lt;&gt;""),IFERROR($E21*INDEX(Produits!$E$5:$E$204,MATCH($B21,Produits!$A$5:$A$204,0)),""),"")</f>
        <v/>
      </c>
      <c r="I21" s="23"/>
    </row>
    <row r="22" customFormat="false" ht="15" hidden="false" customHeight="false" outlineLevel="0" collapsed="false">
      <c r="A22" s="27"/>
      <c r="B22" s="23"/>
      <c r="C22" s="26" t="str">
        <f aca="false">IF($B22="","",IFERROR(INDEX(Produits!$B$5:$B$204,MATCH($B22,Produits!$A$5:$A$204,0)),"Code inconnu"))</f>
        <v/>
      </c>
      <c r="D22" s="23"/>
      <c r="E22" s="24"/>
      <c r="F22" s="21" t="str">
        <f aca="false">IF(OR($B22="",$D22=""),"",IFERROR(IF($D22="Entrée",INDEX(Produits!$E$5:$E$204,MATCH($B22,Produits!$A$5:$A$204,0)),INDEX(Produits!$F$5:$F$204,MATCH($B22,Produits!$A$5:$A$204,0))),""))</f>
        <v/>
      </c>
      <c r="G22" s="21" t="str">
        <f aca="false">IF(OR($F22="",$E22=""),"",$E22*$F22)</f>
        <v/>
      </c>
      <c r="H22" s="21" t="str">
        <f aca="false">IF(AND($D22="Sortie",$B22&lt;&gt;"",$E22&lt;&gt;""),IFERROR($E22*INDEX(Produits!$E$5:$E$204,MATCH($B22,Produits!$A$5:$A$204,0)),""),"")</f>
        <v/>
      </c>
      <c r="I22" s="23"/>
    </row>
    <row r="23" customFormat="false" ht="15" hidden="false" customHeight="false" outlineLevel="0" collapsed="false">
      <c r="A23" s="27"/>
      <c r="B23" s="23"/>
      <c r="C23" s="26" t="str">
        <f aca="false">IF($B23="","",IFERROR(INDEX(Produits!$B$5:$B$204,MATCH($B23,Produits!$A$5:$A$204,0)),"Code inconnu"))</f>
        <v/>
      </c>
      <c r="D23" s="23"/>
      <c r="E23" s="24"/>
      <c r="F23" s="21" t="str">
        <f aca="false">IF(OR($B23="",$D23=""),"",IFERROR(IF($D23="Entrée",INDEX(Produits!$E$5:$E$204,MATCH($B23,Produits!$A$5:$A$204,0)),INDEX(Produits!$F$5:$F$204,MATCH($B23,Produits!$A$5:$A$204,0))),""))</f>
        <v/>
      </c>
      <c r="G23" s="21" t="str">
        <f aca="false">IF(OR($F23="",$E23=""),"",$E23*$F23)</f>
        <v/>
      </c>
      <c r="H23" s="21" t="str">
        <f aca="false">IF(AND($D23="Sortie",$B23&lt;&gt;"",$E23&lt;&gt;""),IFERROR($E23*INDEX(Produits!$E$5:$E$204,MATCH($B23,Produits!$A$5:$A$204,0)),""),"")</f>
        <v/>
      </c>
      <c r="I23" s="23"/>
    </row>
    <row r="24" customFormat="false" ht="15" hidden="false" customHeight="false" outlineLevel="0" collapsed="false">
      <c r="A24" s="27"/>
      <c r="B24" s="23"/>
      <c r="C24" s="26" t="str">
        <f aca="false">IF($B24="","",IFERROR(INDEX(Produits!$B$5:$B$204,MATCH($B24,Produits!$A$5:$A$204,0)),"Code inconnu"))</f>
        <v/>
      </c>
      <c r="D24" s="23"/>
      <c r="E24" s="24"/>
      <c r="F24" s="21" t="str">
        <f aca="false">IF(OR($B24="",$D24=""),"",IFERROR(IF($D24="Entrée",INDEX(Produits!$E$5:$E$204,MATCH($B24,Produits!$A$5:$A$204,0)),INDEX(Produits!$F$5:$F$204,MATCH($B24,Produits!$A$5:$A$204,0))),""))</f>
        <v/>
      </c>
      <c r="G24" s="21" t="str">
        <f aca="false">IF(OR($F24="",$E24=""),"",$E24*$F24)</f>
        <v/>
      </c>
      <c r="H24" s="21" t="str">
        <f aca="false">IF(AND($D24="Sortie",$B24&lt;&gt;"",$E24&lt;&gt;""),IFERROR($E24*INDEX(Produits!$E$5:$E$204,MATCH($B24,Produits!$A$5:$A$204,0)),""),"")</f>
        <v/>
      </c>
      <c r="I24" s="23"/>
    </row>
    <row r="25" customFormat="false" ht="15" hidden="false" customHeight="false" outlineLevel="0" collapsed="false">
      <c r="A25" s="27"/>
      <c r="B25" s="23"/>
      <c r="C25" s="26" t="str">
        <f aca="false">IF($B25="","",IFERROR(INDEX(Produits!$B$5:$B$204,MATCH($B25,Produits!$A$5:$A$204,0)),"Code inconnu"))</f>
        <v/>
      </c>
      <c r="D25" s="23"/>
      <c r="E25" s="24"/>
      <c r="F25" s="21" t="str">
        <f aca="false">IF(OR($B25="",$D25=""),"",IFERROR(IF($D25="Entrée",INDEX(Produits!$E$5:$E$204,MATCH($B25,Produits!$A$5:$A$204,0)),INDEX(Produits!$F$5:$F$204,MATCH($B25,Produits!$A$5:$A$204,0))),""))</f>
        <v/>
      </c>
      <c r="G25" s="21" t="str">
        <f aca="false">IF(OR($F25="",$E25=""),"",$E25*$F25)</f>
        <v/>
      </c>
      <c r="H25" s="21" t="str">
        <f aca="false">IF(AND($D25="Sortie",$B25&lt;&gt;"",$E25&lt;&gt;""),IFERROR($E25*INDEX(Produits!$E$5:$E$204,MATCH($B25,Produits!$A$5:$A$204,0)),""),"")</f>
        <v/>
      </c>
      <c r="I25" s="23"/>
    </row>
    <row r="26" customFormat="false" ht="15" hidden="false" customHeight="false" outlineLevel="0" collapsed="false">
      <c r="A26" s="27"/>
      <c r="B26" s="23"/>
      <c r="C26" s="26" t="str">
        <f aca="false">IF($B26="","",IFERROR(INDEX(Produits!$B$5:$B$204,MATCH($B26,Produits!$A$5:$A$204,0)),"Code inconnu"))</f>
        <v/>
      </c>
      <c r="D26" s="23"/>
      <c r="E26" s="24"/>
      <c r="F26" s="21" t="str">
        <f aca="false">IF(OR($B26="",$D26=""),"",IFERROR(IF($D26="Entrée",INDEX(Produits!$E$5:$E$204,MATCH($B26,Produits!$A$5:$A$204,0)),INDEX(Produits!$F$5:$F$204,MATCH($B26,Produits!$A$5:$A$204,0))),""))</f>
        <v/>
      </c>
      <c r="G26" s="21" t="str">
        <f aca="false">IF(OR($F26="",$E26=""),"",$E26*$F26)</f>
        <v/>
      </c>
      <c r="H26" s="21" t="str">
        <f aca="false">IF(AND($D26="Sortie",$B26&lt;&gt;"",$E26&lt;&gt;""),IFERROR($E26*INDEX(Produits!$E$5:$E$204,MATCH($B26,Produits!$A$5:$A$204,0)),""),"")</f>
        <v/>
      </c>
      <c r="I26" s="23"/>
    </row>
    <row r="27" customFormat="false" ht="15" hidden="false" customHeight="false" outlineLevel="0" collapsed="false">
      <c r="A27" s="27"/>
      <c r="B27" s="23"/>
      <c r="C27" s="26" t="str">
        <f aca="false">IF($B27="","",IFERROR(INDEX(Produits!$B$5:$B$204,MATCH($B27,Produits!$A$5:$A$204,0)),"Code inconnu"))</f>
        <v/>
      </c>
      <c r="D27" s="23"/>
      <c r="E27" s="24"/>
      <c r="F27" s="21" t="str">
        <f aca="false">IF(OR($B27="",$D27=""),"",IFERROR(IF($D27="Entrée",INDEX(Produits!$E$5:$E$204,MATCH($B27,Produits!$A$5:$A$204,0)),INDEX(Produits!$F$5:$F$204,MATCH($B27,Produits!$A$5:$A$204,0))),""))</f>
        <v/>
      </c>
      <c r="G27" s="21" t="str">
        <f aca="false">IF(OR($F27="",$E27=""),"",$E27*$F27)</f>
        <v/>
      </c>
      <c r="H27" s="21" t="str">
        <f aca="false">IF(AND($D27="Sortie",$B27&lt;&gt;"",$E27&lt;&gt;""),IFERROR($E27*INDEX(Produits!$E$5:$E$204,MATCH($B27,Produits!$A$5:$A$204,0)),""),"")</f>
        <v/>
      </c>
      <c r="I27" s="23"/>
    </row>
    <row r="28" customFormat="false" ht="15" hidden="false" customHeight="false" outlineLevel="0" collapsed="false">
      <c r="A28" s="27"/>
      <c r="B28" s="23"/>
      <c r="C28" s="26" t="str">
        <f aca="false">IF($B28="","",IFERROR(INDEX(Produits!$B$5:$B$204,MATCH($B28,Produits!$A$5:$A$204,0)),"Code inconnu"))</f>
        <v/>
      </c>
      <c r="D28" s="23"/>
      <c r="E28" s="24"/>
      <c r="F28" s="21" t="str">
        <f aca="false">IF(OR($B28="",$D28=""),"",IFERROR(IF($D28="Entrée",INDEX(Produits!$E$5:$E$204,MATCH($B28,Produits!$A$5:$A$204,0)),INDEX(Produits!$F$5:$F$204,MATCH($B28,Produits!$A$5:$A$204,0))),""))</f>
        <v/>
      </c>
      <c r="G28" s="21" t="str">
        <f aca="false">IF(OR($F28="",$E28=""),"",$E28*$F28)</f>
        <v/>
      </c>
      <c r="H28" s="21" t="str">
        <f aca="false">IF(AND($D28="Sortie",$B28&lt;&gt;"",$E28&lt;&gt;""),IFERROR($E28*INDEX(Produits!$E$5:$E$204,MATCH($B28,Produits!$A$5:$A$204,0)),""),"")</f>
        <v/>
      </c>
      <c r="I28" s="23"/>
    </row>
    <row r="29" customFormat="false" ht="15" hidden="false" customHeight="false" outlineLevel="0" collapsed="false">
      <c r="A29" s="27"/>
      <c r="B29" s="23"/>
      <c r="C29" s="26" t="str">
        <f aca="false">IF($B29="","",IFERROR(INDEX(Produits!$B$5:$B$204,MATCH($B29,Produits!$A$5:$A$204,0)),"Code inconnu"))</f>
        <v/>
      </c>
      <c r="D29" s="23"/>
      <c r="E29" s="24"/>
      <c r="F29" s="21" t="str">
        <f aca="false">IF(OR($B29="",$D29=""),"",IFERROR(IF($D29="Entrée",INDEX(Produits!$E$5:$E$204,MATCH($B29,Produits!$A$5:$A$204,0)),INDEX(Produits!$F$5:$F$204,MATCH($B29,Produits!$A$5:$A$204,0))),""))</f>
        <v/>
      </c>
      <c r="G29" s="21" t="str">
        <f aca="false">IF(OR($F29="",$E29=""),"",$E29*$F29)</f>
        <v/>
      </c>
      <c r="H29" s="21" t="str">
        <f aca="false">IF(AND($D29="Sortie",$B29&lt;&gt;"",$E29&lt;&gt;""),IFERROR($E29*INDEX(Produits!$E$5:$E$204,MATCH($B29,Produits!$A$5:$A$204,0)),""),"")</f>
        <v/>
      </c>
      <c r="I29" s="23"/>
    </row>
    <row r="30" customFormat="false" ht="15" hidden="false" customHeight="false" outlineLevel="0" collapsed="false">
      <c r="A30" s="27"/>
      <c r="B30" s="23"/>
      <c r="C30" s="26" t="str">
        <f aca="false">IF($B30="","",IFERROR(INDEX(Produits!$B$5:$B$204,MATCH($B30,Produits!$A$5:$A$204,0)),"Code inconnu"))</f>
        <v/>
      </c>
      <c r="D30" s="23"/>
      <c r="E30" s="24"/>
      <c r="F30" s="21" t="str">
        <f aca="false">IF(OR($B30="",$D30=""),"",IFERROR(IF($D30="Entrée",INDEX(Produits!$E$5:$E$204,MATCH($B30,Produits!$A$5:$A$204,0)),INDEX(Produits!$F$5:$F$204,MATCH($B30,Produits!$A$5:$A$204,0))),""))</f>
        <v/>
      </c>
      <c r="G30" s="21" t="str">
        <f aca="false">IF(OR($F30="",$E30=""),"",$E30*$F30)</f>
        <v/>
      </c>
      <c r="H30" s="21" t="str">
        <f aca="false">IF(AND($D30="Sortie",$B30&lt;&gt;"",$E30&lt;&gt;""),IFERROR($E30*INDEX(Produits!$E$5:$E$204,MATCH($B30,Produits!$A$5:$A$204,0)),""),"")</f>
        <v/>
      </c>
      <c r="I30" s="23"/>
    </row>
    <row r="31" customFormat="false" ht="15" hidden="false" customHeight="false" outlineLevel="0" collapsed="false">
      <c r="A31" s="27"/>
      <c r="B31" s="23"/>
      <c r="C31" s="26" t="str">
        <f aca="false">IF($B31="","",IFERROR(INDEX(Produits!$B$5:$B$204,MATCH($B31,Produits!$A$5:$A$204,0)),"Code inconnu"))</f>
        <v/>
      </c>
      <c r="D31" s="23"/>
      <c r="E31" s="24"/>
      <c r="F31" s="21" t="str">
        <f aca="false">IF(OR($B31="",$D31=""),"",IFERROR(IF($D31="Entrée",INDEX(Produits!$E$5:$E$204,MATCH($B31,Produits!$A$5:$A$204,0)),INDEX(Produits!$F$5:$F$204,MATCH($B31,Produits!$A$5:$A$204,0))),""))</f>
        <v/>
      </c>
      <c r="G31" s="21" t="str">
        <f aca="false">IF(OR($F31="",$E31=""),"",$E31*$F31)</f>
        <v/>
      </c>
      <c r="H31" s="21" t="str">
        <f aca="false">IF(AND($D31="Sortie",$B31&lt;&gt;"",$E31&lt;&gt;""),IFERROR($E31*INDEX(Produits!$E$5:$E$204,MATCH($B31,Produits!$A$5:$A$204,0)),""),"")</f>
        <v/>
      </c>
      <c r="I31" s="23"/>
    </row>
    <row r="32" customFormat="false" ht="15" hidden="false" customHeight="false" outlineLevel="0" collapsed="false">
      <c r="A32" s="27"/>
      <c r="B32" s="23"/>
      <c r="C32" s="26" t="str">
        <f aca="false">IF($B32="","",IFERROR(INDEX(Produits!$B$5:$B$204,MATCH($B32,Produits!$A$5:$A$204,0)),"Code inconnu"))</f>
        <v/>
      </c>
      <c r="D32" s="23"/>
      <c r="E32" s="24"/>
      <c r="F32" s="21" t="str">
        <f aca="false">IF(OR($B32="",$D32=""),"",IFERROR(IF($D32="Entrée",INDEX(Produits!$E$5:$E$204,MATCH($B32,Produits!$A$5:$A$204,0)),INDEX(Produits!$F$5:$F$204,MATCH($B32,Produits!$A$5:$A$204,0))),""))</f>
        <v/>
      </c>
      <c r="G32" s="21" t="str">
        <f aca="false">IF(OR($F32="",$E32=""),"",$E32*$F32)</f>
        <v/>
      </c>
      <c r="H32" s="21" t="str">
        <f aca="false">IF(AND($D32="Sortie",$B32&lt;&gt;"",$E32&lt;&gt;""),IFERROR($E32*INDEX(Produits!$E$5:$E$204,MATCH($B32,Produits!$A$5:$A$204,0)),""),"")</f>
        <v/>
      </c>
      <c r="I32" s="23"/>
    </row>
    <row r="33" customFormat="false" ht="15" hidden="false" customHeight="false" outlineLevel="0" collapsed="false">
      <c r="A33" s="27"/>
      <c r="B33" s="23"/>
      <c r="C33" s="26" t="str">
        <f aca="false">IF($B33="","",IFERROR(INDEX(Produits!$B$5:$B$204,MATCH($B33,Produits!$A$5:$A$204,0)),"Code inconnu"))</f>
        <v/>
      </c>
      <c r="D33" s="23"/>
      <c r="E33" s="24"/>
      <c r="F33" s="21" t="str">
        <f aca="false">IF(OR($B33="",$D33=""),"",IFERROR(IF($D33="Entrée",INDEX(Produits!$E$5:$E$204,MATCH($B33,Produits!$A$5:$A$204,0)),INDEX(Produits!$F$5:$F$204,MATCH($B33,Produits!$A$5:$A$204,0))),""))</f>
        <v/>
      </c>
      <c r="G33" s="21" t="str">
        <f aca="false">IF(OR($F33="",$E33=""),"",$E33*$F33)</f>
        <v/>
      </c>
      <c r="H33" s="21" t="str">
        <f aca="false">IF(AND($D33="Sortie",$B33&lt;&gt;"",$E33&lt;&gt;""),IFERROR($E33*INDEX(Produits!$E$5:$E$204,MATCH($B33,Produits!$A$5:$A$204,0)),""),"")</f>
        <v/>
      </c>
      <c r="I33" s="23"/>
    </row>
    <row r="34" customFormat="false" ht="15" hidden="false" customHeight="false" outlineLevel="0" collapsed="false">
      <c r="A34" s="27"/>
      <c r="B34" s="23"/>
      <c r="C34" s="26" t="str">
        <f aca="false">IF($B34="","",IFERROR(INDEX(Produits!$B$5:$B$204,MATCH($B34,Produits!$A$5:$A$204,0)),"Code inconnu"))</f>
        <v/>
      </c>
      <c r="D34" s="23"/>
      <c r="E34" s="24"/>
      <c r="F34" s="21" t="str">
        <f aca="false">IF(OR($B34="",$D34=""),"",IFERROR(IF($D34="Entrée",INDEX(Produits!$E$5:$E$204,MATCH($B34,Produits!$A$5:$A$204,0)),INDEX(Produits!$F$5:$F$204,MATCH($B34,Produits!$A$5:$A$204,0))),""))</f>
        <v/>
      </c>
      <c r="G34" s="21" t="str">
        <f aca="false">IF(OR($F34="",$E34=""),"",$E34*$F34)</f>
        <v/>
      </c>
      <c r="H34" s="21" t="str">
        <f aca="false">IF(AND($D34="Sortie",$B34&lt;&gt;"",$E34&lt;&gt;""),IFERROR($E34*INDEX(Produits!$E$5:$E$204,MATCH($B34,Produits!$A$5:$A$204,0)),""),"")</f>
        <v/>
      </c>
      <c r="I34" s="23"/>
    </row>
    <row r="35" customFormat="false" ht="15" hidden="false" customHeight="false" outlineLevel="0" collapsed="false">
      <c r="A35" s="27"/>
      <c r="B35" s="23"/>
      <c r="C35" s="26" t="str">
        <f aca="false">IF($B35="","",IFERROR(INDEX(Produits!$B$5:$B$204,MATCH($B35,Produits!$A$5:$A$204,0)),"Code inconnu"))</f>
        <v/>
      </c>
      <c r="D35" s="23"/>
      <c r="E35" s="24"/>
      <c r="F35" s="21" t="str">
        <f aca="false">IF(OR($B35="",$D35=""),"",IFERROR(IF($D35="Entrée",INDEX(Produits!$E$5:$E$204,MATCH($B35,Produits!$A$5:$A$204,0)),INDEX(Produits!$F$5:$F$204,MATCH($B35,Produits!$A$5:$A$204,0))),""))</f>
        <v/>
      </c>
      <c r="G35" s="21" t="str">
        <f aca="false">IF(OR($F35="",$E35=""),"",$E35*$F35)</f>
        <v/>
      </c>
      <c r="H35" s="21" t="str">
        <f aca="false">IF(AND($D35="Sortie",$B35&lt;&gt;"",$E35&lt;&gt;""),IFERROR($E35*INDEX(Produits!$E$5:$E$204,MATCH($B35,Produits!$A$5:$A$204,0)),""),"")</f>
        <v/>
      </c>
      <c r="I35" s="23"/>
    </row>
    <row r="36" customFormat="false" ht="15" hidden="false" customHeight="false" outlineLevel="0" collapsed="false">
      <c r="A36" s="27"/>
      <c r="B36" s="23"/>
      <c r="C36" s="26" t="str">
        <f aca="false">IF($B36="","",IFERROR(INDEX(Produits!$B$5:$B$204,MATCH($B36,Produits!$A$5:$A$204,0)),"Code inconnu"))</f>
        <v/>
      </c>
      <c r="D36" s="23"/>
      <c r="E36" s="24"/>
      <c r="F36" s="21" t="str">
        <f aca="false">IF(OR($B36="",$D36=""),"",IFERROR(IF($D36="Entrée",INDEX(Produits!$E$5:$E$204,MATCH($B36,Produits!$A$5:$A$204,0)),INDEX(Produits!$F$5:$F$204,MATCH($B36,Produits!$A$5:$A$204,0))),""))</f>
        <v/>
      </c>
      <c r="G36" s="21" t="str">
        <f aca="false">IF(OR($F36="",$E36=""),"",$E36*$F36)</f>
        <v/>
      </c>
      <c r="H36" s="21" t="str">
        <f aca="false">IF(AND($D36="Sortie",$B36&lt;&gt;"",$E36&lt;&gt;""),IFERROR($E36*INDEX(Produits!$E$5:$E$204,MATCH($B36,Produits!$A$5:$A$204,0)),""),"")</f>
        <v/>
      </c>
      <c r="I36" s="23"/>
    </row>
    <row r="37" customFormat="false" ht="15" hidden="false" customHeight="false" outlineLevel="0" collapsed="false">
      <c r="A37" s="27"/>
      <c r="B37" s="23"/>
      <c r="C37" s="26" t="str">
        <f aca="false">IF($B37="","",IFERROR(INDEX(Produits!$B$5:$B$204,MATCH($B37,Produits!$A$5:$A$204,0)),"Code inconnu"))</f>
        <v/>
      </c>
      <c r="D37" s="23"/>
      <c r="E37" s="24"/>
      <c r="F37" s="21" t="str">
        <f aca="false">IF(OR($B37="",$D37=""),"",IFERROR(IF($D37="Entrée",INDEX(Produits!$E$5:$E$204,MATCH($B37,Produits!$A$5:$A$204,0)),INDEX(Produits!$F$5:$F$204,MATCH($B37,Produits!$A$5:$A$204,0))),""))</f>
        <v/>
      </c>
      <c r="G37" s="21" t="str">
        <f aca="false">IF(OR($F37="",$E37=""),"",$E37*$F37)</f>
        <v/>
      </c>
      <c r="H37" s="21" t="str">
        <f aca="false">IF(AND($D37="Sortie",$B37&lt;&gt;"",$E37&lt;&gt;""),IFERROR($E37*INDEX(Produits!$E$5:$E$204,MATCH($B37,Produits!$A$5:$A$204,0)),""),"")</f>
        <v/>
      </c>
      <c r="I37" s="23"/>
    </row>
    <row r="38" customFormat="false" ht="15" hidden="false" customHeight="false" outlineLevel="0" collapsed="false">
      <c r="A38" s="27"/>
      <c r="B38" s="23"/>
      <c r="C38" s="26" t="str">
        <f aca="false">IF($B38="","",IFERROR(INDEX(Produits!$B$5:$B$204,MATCH($B38,Produits!$A$5:$A$204,0)),"Code inconnu"))</f>
        <v/>
      </c>
      <c r="D38" s="23"/>
      <c r="E38" s="24"/>
      <c r="F38" s="21" t="str">
        <f aca="false">IF(OR($B38="",$D38=""),"",IFERROR(IF($D38="Entrée",INDEX(Produits!$E$5:$E$204,MATCH($B38,Produits!$A$5:$A$204,0)),INDEX(Produits!$F$5:$F$204,MATCH($B38,Produits!$A$5:$A$204,0))),""))</f>
        <v/>
      </c>
      <c r="G38" s="21" t="str">
        <f aca="false">IF(OR($F38="",$E38=""),"",$E38*$F38)</f>
        <v/>
      </c>
      <c r="H38" s="21" t="str">
        <f aca="false">IF(AND($D38="Sortie",$B38&lt;&gt;"",$E38&lt;&gt;""),IFERROR($E38*INDEX(Produits!$E$5:$E$204,MATCH($B38,Produits!$A$5:$A$204,0)),""),"")</f>
        <v/>
      </c>
      <c r="I38" s="23"/>
    </row>
    <row r="39" customFormat="false" ht="15" hidden="false" customHeight="false" outlineLevel="0" collapsed="false">
      <c r="A39" s="27"/>
      <c r="B39" s="23"/>
      <c r="C39" s="26" t="str">
        <f aca="false">IF($B39="","",IFERROR(INDEX(Produits!$B$5:$B$204,MATCH($B39,Produits!$A$5:$A$204,0)),"Code inconnu"))</f>
        <v/>
      </c>
      <c r="D39" s="23"/>
      <c r="E39" s="24"/>
      <c r="F39" s="21" t="str">
        <f aca="false">IF(OR($B39="",$D39=""),"",IFERROR(IF($D39="Entrée",INDEX(Produits!$E$5:$E$204,MATCH($B39,Produits!$A$5:$A$204,0)),INDEX(Produits!$F$5:$F$204,MATCH($B39,Produits!$A$5:$A$204,0))),""))</f>
        <v/>
      </c>
      <c r="G39" s="21" t="str">
        <f aca="false">IF(OR($F39="",$E39=""),"",$E39*$F39)</f>
        <v/>
      </c>
      <c r="H39" s="21" t="str">
        <f aca="false">IF(AND($D39="Sortie",$B39&lt;&gt;"",$E39&lt;&gt;""),IFERROR($E39*INDEX(Produits!$E$5:$E$204,MATCH($B39,Produits!$A$5:$A$204,0)),""),"")</f>
        <v/>
      </c>
      <c r="I39" s="23"/>
    </row>
    <row r="40" customFormat="false" ht="15" hidden="false" customHeight="false" outlineLevel="0" collapsed="false">
      <c r="A40" s="27"/>
      <c r="B40" s="23"/>
      <c r="C40" s="26" t="str">
        <f aca="false">IF($B40="","",IFERROR(INDEX(Produits!$B$5:$B$204,MATCH($B40,Produits!$A$5:$A$204,0)),"Code inconnu"))</f>
        <v/>
      </c>
      <c r="D40" s="23"/>
      <c r="E40" s="24"/>
      <c r="F40" s="21" t="str">
        <f aca="false">IF(OR($B40="",$D40=""),"",IFERROR(IF($D40="Entrée",INDEX(Produits!$E$5:$E$204,MATCH($B40,Produits!$A$5:$A$204,0)),INDEX(Produits!$F$5:$F$204,MATCH($B40,Produits!$A$5:$A$204,0))),""))</f>
        <v/>
      </c>
      <c r="G40" s="21" t="str">
        <f aca="false">IF(OR($F40="",$E40=""),"",$E40*$F40)</f>
        <v/>
      </c>
      <c r="H40" s="21" t="str">
        <f aca="false">IF(AND($D40="Sortie",$B40&lt;&gt;"",$E40&lt;&gt;""),IFERROR($E40*INDEX(Produits!$E$5:$E$204,MATCH($B40,Produits!$A$5:$A$204,0)),""),"")</f>
        <v/>
      </c>
      <c r="I40" s="23"/>
    </row>
    <row r="41" customFormat="false" ht="15" hidden="false" customHeight="false" outlineLevel="0" collapsed="false">
      <c r="A41" s="27"/>
      <c r="B41" s="23"/>
      <c r="C41" s="26" t="str">
        <f aca="false">IF($B41="","",IFERROR(INDEX(Produits!$B$5:$B$204,MATCH($B41,Produits!$A$5:$A$204,0)),"Code inconnu"))</f>
        <v/>
      </c>
      <c r="D41" s="23"/>
      <c r="E41" s="24"/>
      <c r="F41" s="21" t="str">
        <f aca="false">IF(OR($B41="",$D41=""),"",IFERROR(IF($D41="Entrée",INDEX(Produits!$E$5:$E$204,MATCH($B41,Produits!$A$5:$A$204,0)),INDEX(Produits!$F$5:$F$204,MATCH($B41,Produits!$A$5:$A$204,0))),""))</f>
        <v/>
      </c>
      <c r="G41" s="21" t="str">
        <f aca="false">IF(OR($F41="",$E41=""),"",$E41*$F41)</f>
        <v/>
      </c>
      <c r="H41" s="21" t="str">
        <f aca="false">IF(AND($D41="Sortie",$B41&lt;&gt;"",$E41&lt;&gt;""),IFERROR($E41*INDEX(Produits!$E$5:$E$204,MATCH($B41,Produits!$A$5:$A$204,0)),""),"")</f>
        <v/>
      </c>
      <c r="I41" s="23"/>
    </row>
    <row r="42" customFormat="false" ht="15" hidden="false" customHeight="false" outlineLevel="0" collapsed="false">
      <c r="A42" s="27"/>
      <c r="B42" s="23"/>
      <c r="C42" s="26" t="str">
        <f aca="false">IF($B42="","",IFERROR(INDEX(Produits!$B$5:$B$204,MATCH($B42,Produits!$A$5:$A$204,0)),"Code inconnu"))</f>
        <v/>
      </c>
      <c r="D42" s="23"/>
      <c r="E42" s="24"/>
      <c r="F42" s="21" t="str">
        <f aca="false">IF(OR($B42="",$D42=""),"",IFERROR(IF($D42="Entrée",INDEX(Produits!$E$5:$E$204,MATCH($B42,Produits!$A$5:$A$204,0)),INDEX(Produits!$F$5:$F$204,MATCH($B42,Produits!$A$5:$A$204,0))),""))</f>
        <v/>
      </c>
      <c r="G42" s="21" t="str">
        <f aca="false">IF(OR($F42="",$E42=""),"",$E42*$F42)</f>
        <v/>
      </c>
      <c r="H42" s="21" t="str">
        <f aca="false">IF(AND($D42="Sortie",$B42&lt;&gt;"",$E42&lt;&gt;""),IFERROR($E42*INDEX(Produits!$E$5:$E$204,MATCH($B42,Produits!$A$5:$A$204,0)),""),"")</f>
        <v/>
      </c>
      <c r="I42" s="23"/>
    </row>
    <row r="43" customFormat="false" ht="15" hidden="false" customHeight="false" outlineLevel="0" collapsed="false">
      <c r="A43" s="27"/>
      <c r="B43" s="23"/>
      <c r="C43" s="26" t="str">
        <f aca="false">IF($B43="","",IFERROR(INDEX(Produits!$B$5:$B$204,MATCH($B43,Produits!$A$5:$A$204,0)),"Code inconnu"))</f>
        <v/>
      </c>
      <c r="D43" s="23"/>
      <c r="E43" s="24"/>
      <c r="F43" s="21" t="str">
        <f aca="false">IF(OR($B43="",$D43=""),"",IFERROR(IF($D43="Entrée",INDEX(Produits!$E$5:$E$204,MATCH($B43,Produits!$A$5:$A$204,0)),INDEX(Produits!$F$5:$F$204,MATCH($B43,Produits!$A$5:$A$204,0))),""))</f>
        <v/>
      </c>
      <c r="G43" s="21" t="str">
        <f aca="false">IF(OR($F43="",$E43=""),"",$E43*$F43)</f>
        <v/>
      </c>
      <c r="H43" s="21" t="str">
        <f aca="false">IF(AND($D43="Sortie",$B43&lt;&gt;"",$E43&lt;&gt;""),IFERROR($E43*INDEX(Produits!$E$5:$E$204,MATCH($B43,Produits!$A$5:$A$204,0)),""),"")</f>
        <v/>
      </c>
      <c r="I43" s="23"/>
    </row>
    <row r="44" customFormat="false" ht="15" hidden="false" customHeight="false" outlineLevel="0" collapsed="false">
      <c r="A44" s="27"/>
      <c r="B44" s="23"/>
      <c r="C44" s="26" t="str">
        <f aca="false">IF($B44="","",IFERROR(INDEX(Produits!$B$5:$B$204,MATCH($B44,Produits!$A$5:$A$204,0)),"Code inconnu"))</f>
        <v/>
      </c>
      <c r="D44" s="23"/>
      <c r="E44" s="24"/>
      <c r="F44" s="21" t="str">
        <f aca="false">IF(OR($B44="",$D44=""),"",IFERROR(IF($D44="Entrée",INDEX(Produits!$E$5:$E$204,MATCH($B44,Produits!$A$5:$A$204,0)),INDEX(Produits!$F$5:$F$204,MATCH($B44,Produits!$A$5:$A$204,0))),""))</f>
        <v/>
      </c>
      <c r="G44" s="21" t="str">
        <f aca="false">IF(OR($F44="",$E44=""),"",$E44*$F44)</f>
        <v/>
      </c>
      <c r="H44" s="21" t="str">
        <f aca="false">IF(AND($D44="Sortie",$B44&lt;&gt;"",$E44&lt;&gt;""),IFERROR($E44*INDEX(Produits!$E$5:$E$204,MATCH($B44,Produits!$A$5:$A$204,0)),""),"")</f>
        <v/>
      </c>
      <c r="I44" s="23"/>
    </row>
    <row r="45" customFormat="false" ht="15" hidden="false" customHeight="false" outlineLevel="0" collapsed="false">
      <c r="A45" s="27"/>
      <c r="B45" s="23"/>
      <c r="C45" s="26" t="str">
        <f aca="false">IF($B45="","",IFERROR(INDEX(Produits!$B$5:$B$204,MATCH($B45,Produits!$A$5:$A$204,0)),"Code inconnu"))</f>
        <v/>
      </c>
      <c r="D45" s="23"/>
      <c r="E45" s="24"/>
      <c r="F45" s="21" t="str">
        <f aca="false">IF(OR($B45="",$D45=""),"",IFERROR(IF($D45="Entrée",INDEX(Produits!$E$5:$E$204,MATCH($B45,Produits!$A$5:$A$204,0)),INDEX(Produits!$F$5:$F$204,MATCH($B45,Produits!$A$5:$A$204,0))),""))</f>
        <v/>
      </c>
      <c r="G45" s="21" t="str">
        <f aca="false">IF(OR($F45="",$E45=""),"",$E45*$F45)</f>
        <v/>
      </c>
      <c r="H45" s="21" t="str">
        <f aca="false">IF(AND($D45="Sortie",$B45&lt;&gt;"",$E45&lt;&gt;""),IFERROR($E45*INDEX(Produits!$E$5:$E$204,MATCH($B45,Produits!$A$5:$A$204,0)),""),"")</f>
        <v/>
      </c>
      <c r="I45" s="23"/>
    </row>
    <row r="46" customFormat="false" ht="15" hidden="false" customHeight="false" outlineLevel="0" collapsed="false">
      <c r="A46" s="27"/>
      <c r="B46" s="23"/>
      <c r="C46" s="26" t="str">
        <f aca="false">IF($B46="","",IFERROR(INDEX(Produits!$B$5:$B$204,MATCH($B46,Produits!$A$5:$A$204,0)),"Code inconnu"))</f>
        <v/>
      </c>
      <c r="D46" s="23"/>
      <c r="E46" s="24"/>
      <c r="F46" s="21" t="str">
        <f aca="false">IF(OR($B46="",$D46=""),"",IFERROR(IF($D46="Entrée",INDEX(Produits!$E$5:$E$204,MATCH($B46,Produits!$A$5:$A$204,0)),INDEX(Produits!$F$5:$F$204,MATCH($B46,Produits!$A$5:$A$204,0))),""))</f>
        <v/>
      </c>
      <c r="G46" s="21" t="str">
        <f aca="false">IF(OR($F46="",$E46=""),"",$E46*$F46)</f>
        <v/>
      </c>
      <c r="H46" s="21" t="str">
        <f aca="false">IF(AND($D46="Sortie",$B46&lt;&gt;"",$E46&lt;&gt;""),IFERROR($E46*INDEX(Produits!$E$5:$E$204,MATCH($B46,Produits!$A$5:$A$204,0)),""),"")</f>
        <v/>
      </c>
      <c r="I46" s="23"/>
    </row>
    <row r="47" customFormat="false" ht="15" hidden="false" customHeight="false" outlineLevel="0" collapsed="false">
      <c r="A47" s="27"/>
      <c r="B47" s="23"/>
      <c r="C47" s="26" t="str">
        <f aca="false">IF($B47="","",IFERROR(INDEX(Produits!$B$5:$B$204,MATCH($B47,Produits!$A$5:$A$204,0)),"Code inconnu"))</f>
        <v/>
      </c>
      <c r="D47" s="23"/>
      <c r="E47" s="24"/>
      <c r="F47" s="21" t="str">
        <f aca="false">IF(OR($B47="",$D47=""),"",IFERROR(IF($D47="Entrée",INDEX(Produits!$E$5:$E$204,MATCH($B47,Produits!$A$5:$A$204,0)),INDEX(Produits!$F$5:$F$204,MATCH($B47,Produits!$A$5:$A$204,0))),""))</f>
        <v/>
      </c>
      <c r="G47" s="21" t="str">
        <f aca="false">IF(OR($F47="",$E47=""),"",$E47*$F47)</f>
        <v/>
      </c>
      <c r="H47" s="21" t="str">
        <f aca="false">IF(AND($D47="Sortie",$B47&lt;&gt;"",$E47&lt;&gt;""),IFERROR($E47*INDEX(Produits!$E$5:$E$204,MATCH($B47,Produits!$A$5:$A$204,0)),""),"")</f>
        <v/>
      </c>
      <c r="I47" s="23"/>
    </row>
    <row r="48" customFormat="false" ht="15" hidden="false" customHeight="false" outlineLevel="0" collapsed="false">
      <c r="A48" s="27"/>
      <c r="B48" s="23"/>
      <c r="C48" s="26" t="str">
        <f aca="false">IF($B48="","",IFERROR(INDEX(Produits!$B$5:$B$204,MATCH($B48,Produits!$A$5:$A$204,0)),"Code inconnu"))</f>
        <v/>
      </c>
      <c r="D48" s="23"/>
      <c r="E48" s="24"/>
      <c r="F48" s="21" t="str">
        <f aca="false">IF(OR($B48="",$D48=""),"",IFERROR(IF($D48="Entrée",INDEX(Produits!$E$5:$E$204,MATCH($B48,Produits!$A$5:$A$204,0)),INDEX(Produits!$F$5:$F$204,MATCH($B48,Produits!$A$5:$A$204,0))),""))</f>
        <v/>
      </c>
      <c r="G48" s="21" t="str">
        <f aca="false">IF(OR($F48="",$E48=""),"",$E48*$F48)</f>
        <v/>
      </c>
      <c r="H48" s="21" t="str">
        <f aca="false">IF(AND($D48="Sortie",$B48&lt;&gt;"",$E48&lt;&gt;""),IFERROR($E48*INDEX(Produits!$E$5:$E$204,MATCH($B48,Produits!$A$5:$A$204,0)),""),"")</f>
        <v/>
      </c>
      <c r="I48" s="23"/>
    </row>
    <row r="49" customFormat="false" ht="15" hidden="false" customHeight="false" outlineLevel="0" collapsed="false">
      <c r="A49" s="27"/>
      <c r="B49" s="23"/>
      <c r="C49" s="26" t="str">
        <f aca="false">IF($B49="","",IFERROR(INDEX(Produits!$B$5:$B$204,MATCH($B49,Produits!$A$5:$A$204,0)),"Code inconnu"))</f>
        <v/>
      </c>
      <c r="D49" s="23"/>
      <c r="E49" s="24"/>
      <c r="F49" s="21" t="str">
        <f aca="false">IF(OR($B49="",$D49=""),"",IFERROR(IF($D49="Entrée",INDEX(Produits!$E$5:$E$204,MATCH($B49,Produits!$A$5:$A$204,0)),INDEX(Produits!$F$5:$F$204,MATCH($B49,Produits!$A$5:$A$204,0))),""))</f>
        <v/>
      </c>
      <c r="G49" s="21" t="str">
        <f aca="false">IF(OR($F49="",$E49=""),"",$E49*$F49)</f>
        <v/>
      </c>
      <c r="H49" s="21" t="str">
        <f aca="false">IF(AND($D49="Sortie",$B49&lt;&gt;"",$E49&lt;&gt;""),IFERROR($E49*INDEX(Produits!$E$5:$E$204,MATCH($B49,Produits!$A$5:$A$204,0)),""),"")</f>
        <v/>
      </c>
      <c r="I49" s="23"/>
    </row>
    <row r="50" customFormat="false" ht="15" hidden="false" customHeight="false" outlineLevel="0" collapsed="false">
      <c r="A50" s="27"/>
      <c r="B50" s="23"/>
      <c r="C50" s="26" t="str">
        <f aca="false">IF($B50="","",IFERROR(INDEX(Produits!$B$5:$B$204,MATCH($B50,Produits!$A$5:$A$204,0)),"Code inconnu"))</f>
        <v/>
      </c>
      <c r="D50" s="23"/>
      <c r="E50" s="24"/>
      <c r="F50" s="21" t="str">
        <f aca="false">IF(OR($B50="",$D50=""),"",IFERROR(IF($D50="Entrée",INDEX(Produits!$E$5:$E$204,MATCH($B50,Produits!$A$5:$A$204,0)),INDEX(Produits!$F$5:$F$204,MATCH($B50,Produits!$A$5:$A$204,0))),""))</f>
        <v/>
      </c>
      <c r="G50" s="21" t="str">
        <f aca="false">IF(OR($F50="",$E50=""),"",$E50*$F50)</f>
        <v/>
      </c>
      <c r="H50" s="21" t="str">
        <f aca="false">IF(AND($D50="Sortie",$B50&lt;&gt;"",$E50&lt;&gt;""),IFERROR($E50*INDEX(Produits!$E$5:$E$204,MATCH($B50,Produits!$A$5:$A$204,0)),""),"")</f>
        <v/>
      </c>
      <c r="I50" s="23"/>
    </row>
    <row r="51" customFormat="false" ht="15" hidden="false" customHeight="false" outlineLevel="0" collapsed="false">
      <c r="A51" s="27"/>
      <c r="B51" s="23"/>
      <c r="C51" s="26" t="str">
        <f aca="false">IF($B51="","",IFERROR(INDEX(Produits!$B$5:$B$204,MATCH($B51,Produits!$A$5:$A$204,0)),"Code inconnu"))</f>
        <v/>
      </c>
      <c r="D51" s="23"/>
      <c r="E51" s="24"/>
      <c r="F51" s="21" t="str">
        <f aca="false">IF(OR($B51="",$D51=""),"",IFERROR(IF($D51="Entrée",INDEX(Produits!$E$5:$E$204,MATCH($B51,Produits!$A$5:$A$204,0)),INDEX(Produits!$F$5:$F$204,MATCH($B51,Produits!$A$5:$A$204,0))),""))</f>
        <v/>
      </c>
      <c r="G51" s="21" t="str">
        <f aca="false">IF(OR($F51="",$E51=""),"",$E51*$F51)</f>
        <v/>
      </c>
      <c r="H51" s="21" t="str">
        <f aca="false">IF(AND($D51="Sortie",$B51&lt;&gt;"",$E51&lt;&gt;""),IFERROR($E51*INDEX(Produits!$E$5:$E$204,MATCH($B51,Produits!$A$5:$A$204,0)),""),"")</f>
        <v/>
      </c>
      <c r="I51" s="23"/>
    </row>
    <row r="52" customFormat="false" ht="15" hidden="false" customHeight="false" outlineLevel="0" collapsed="false">
      <c r="A52" s="27"/>
      <c r="B52" s="23"/>
      <c r="C52" s="26" t="str">
        <f aca="false">IF($B52="","",IFERROR(INDEX(Produits!$B$5:$B$204,MATCH($B52,Produits!$A$5:$A$204,0)),"Code inconnu"))</f>
        <v/>
      </c>
      <c r="D52" s="23"/>
      <c r="E52" s="24"/>
      <c r="F52" s="21" t="str">
        <f aca="false">IF(OR($B52="",$D52=""),"",IFERROR(IF($D52="Entrée",INDEX(Produits!$E$5:$E$204,MATCH($B52,Produits!$A$5:$A$204,0)),INDEX(Produits!$F$5:$F$204,MATCH($B52,Produits!$A$5:$A$204,0))),""))</f>
        <v/>
      </c>
      <c r="G52" s="21" t="str">
        <f aca="false">IF(OR($F52="",$E52=""),"",$E52*$F52)</f>
        <v/>
      </c>
      <c r="H52" s="21" t="str">
        <f aca="false">IF(AND($D52="Sortie",$B52&lt;&gt;"",$E52&lt;&gt;""),IFERROR($E52*INDEX(Produits!$E$5:$E$204,MATCH($B52,Produits!$A$5:$A$204,0)),""),"")</f>
        <v/>
      </c>
      <c r="I52" s="23"/>
    </row>
    <row r="53" customFormat="false" ht="15" hidden="false" customHeight="false" outlineLevel="0" collapsed="false">
      <c r="A53" s="27"/>
      <c r="B53" s="23"/>
      <c r="C53" s="26" t="str">
        <f aca="false">IF($B53="","",IFERROR(INDEX(Produits!$B$5:$B$204,MATCH($B53,Produits!$A$5:$A$204,0)),"Code inconnu"))</f>
        <v/>
      </c>
      <c r="D53" s="23"/>
      <c r="E53" s="24"/>
      <c r="F53" s="21" t="str">
        <f aca="false">IF(OR($B53="",$D53=""),"",IFERROR(IF($D53="Entrée",INDEX(Produits!$E$5:$E$204,MATCH($B53,Produits!$A$5:$A$204,0)),INDEX(Produits!$F$5:$F$204,MATCH($B53,Produits!$A$5:$A$204,0))),""))</f>
        <v/>
      </c>
      <c r="G53" s="21" t="str">
        <f aca="false">IF(OR($F53="",$E53=""),"",$E53*$F53)</f>
        <v/>
      </c>
      <c r="H53" s="21" t="str">
        <f aca="false">IF(AND($D53="Sortie",$B53&lt;&gt;"",$E53&lt;&gt;""),IFERROR($E53*INDEX(Produits!$E$5:$E$204,MATCH($B53,Produits!$A$5:$A$204,0)),""),"")</f>
        <v/>
      </c>
      <c r="I53" s="23"/>
    </row>
    <row r="54" customFormat="false" ht="15" hidden="false" customHeight="false" outlineLevel="0" collapsed="false">
      <c r="A54" s="27"/>
      <c r="B54" s="23"/>
      <c r="C54" s="26" t="str">
        <f aca="false">IF($B54="","",IFERROR(INDEX(Produits!$B$5:$B$204,MATCH($B54,Produits!$A$5:$A$204,0)),"Code inconnu"))</f>
        <v/>
      </c>
      <c r="D54" s="23"/>
      <c r="E54" s="24"/>
      <c r="F54" s="21" t="str">
        <f aca="false">IF(OR($B54="",$D54=""),"",IFERROR(IF($D54="Entrée",INDEX(Produits!$E$5:$E$204,MATCH($B54,Produits!$A$5:$A$204,0)),INDEX(Produits!$F$5:$F$204,MATCH($B54,Produits!$A$5:$A$204,0))),""))</f>
        <v/>
      </c>
      <c r="G54" s="21" t="str">
        <f aca="false">IF(OR($F54="",$E54=""),"",$E54*$F54)</f>
        <v/>
      </c>
      <c r="H54" s="21" t="str">
        <f aca="false">IF(AND($D54="Sortie",$B54&lt;&gt;"",$E54&lt;&gt;""),IFERROR($E54*INDEX(Produits!$E$5:$E$204,MATCH($B54,Produits!$A$5:$A$204,0)),""),"")</f>
        <v/>
      </c>
      <c r="I54" s="23"/>
    </row>
    <row r="55" customFormat="false" ht="15" hidden="false" customHeight="false" outlineLevel="0" collapsed="false">
      <c r="A55" s="27"/>
      <c r="B55" s="23"/>
      <c r="C55" s="26" t="str">
        <f aca="false">IF($B55="","",IFERROR(INDEX(Produits!$B$5:$B$204,MATCH($B55,Produits!$A$5:$A$204,0)),"Code inconnu"))</f>
        <v/>
      </c>
      <c r="D55" s="23"/>
      <c r="E55" s="24"/>
      <c r="F55" s="21" t="str">
        <f aca="false">IF(OR($B55="",$D55=""),"",IFERROR(IF($D55="Entrée",INDEX(Produits!$E$5:$E$204,MATCH($B55,Produits!$A$5:$A$204,0)),INDEX(Produits!$F$5:$F$204,MATCH($B55,Produits!$A$5:$A$204,0))),""))</f>
        <v/>
      </c>
      <c r="G55" s="21" t="str">
        <f aca="false">IF(OR($F55="",$E55=""),"",$E55*$F55)</f>
        <v/>
      </c>
      <c r="H55" s="21" t="str">
        <f aca="false">IF(AND($D55="Sortie",$B55&lt;&gt;"",$E55&lt;&gt;""),IFERROR($E55*INDEX(Produits!$E$5:$E$204,MATCH($B55,Produits!$A$5:$A$204,0)),""),"")</f>
        <v/>
      </c>
      <c r="I55" s="23"/>
    </row>
    <row r="56" customFormat="false" ht="15" hidden="false" customHeight="false" outlineLevel="0" collapsed="false">
      <c r="A56" s="27"/>
      <c r="B56" s="23"/>
      <c r="C56" s="26" t="str">
        <f aca="false">IF($B56="","",IFERROR(INDEX(Produits!$B$5:$B$204,MATCH($B56,Produits!$A$5:$A$204,0)),"Code inconnu"))</f>
        <v/>
      </c>
      <c r="D56" s="23"/>
      <c r="E56" s="24"/>
      <c r="F56" s="21" t="str">
        <f aca="false">IF(OR($B56="",$D56=""),"",IFERROR(IF($D56="Entrée",INDEX(Produits!$E$5:$E$204,MATCH($B56,Produits!$A$5:$A$204,0)),INDEX(Produits!$F$5:$F$204,MATCH($B56,Produits!$A$5:$A$204,0))),""))</f>
        <v/>
      </c>
      <c r="G56" s="21" t="str">
        <f aca="false">IF(OR($F56="",$E56=""),"",$E56*$F56)</f>
        <v/>
      </c>
      <c r="H56" s="21" t="str">
        <f aca="false">IF(AND($D56="Sortie",$B56&lt;&gt;"",$E56&lt;&gt;""),IFERROR($E56*INDEX(Produits!$E$5:$E$204,MATCH($B56,Produits!$A$5:$A$204,0)),""),"")</f>
        <v/>
      </c>
      <c r="I56" s="23"/>
    </row>
    <row r="57" customFormat="false" ht="15" hidden="false" customHeight="false" outlineLevel="0" collapsed="false">
      <c r="A57" s="27"/>
      <c r="B57" s="23"/>
      <c r="C57" s="26" t="str">
        <f aca="false">IF($B57="","",IFERROR(INDEX(Produits!$B$5:$B$204,MATCH($B57,Produits!$A$5:$A$204,0)),"Code inconnu"))</f>
        <v/>
      </c>
      <c r="D57" s="23"/>
      <c r="E57" s="24"/>
      <c r="F57" s="21" t="str">
        <f aca="false">IF(OR($B57="",$D57=""),"",IFERROR(IF($D57="Entrée",INDEX(Produits!$E$5:$E$204,MATCH($B57,Produits!$A$5:$A$204,0)),INDEX(Produits!$F$5:$F$204,MATCH($B57,Produits!$A$5:$A$204,0))),""))</f>
        <v/>
      </c>
      <c r="G57" s="21" t="str">
        <f aca="false">IF(OR($F57="",$E57=""),"",$E57*$F57)</f>
        <v/>
      </c>
      <c r="H57" s="21" t="str">
        <f aca="false">IF(AND($D57="Sortie",$B57&lt;&gt;"",$E57&lt;&gt;""),IFERROR($E57*INDEX(Produits!$E$5:$E$204,MATCH($B57,Produits!$A$5:$A$204,0)),""),"")</f>
        <v/>
      </c>
      <c r="I57" s="23"/>
    </row>
    <row r="58" customFormat="false" ht="15" hidden="false" customHeight="false" outlineLevel="0" collapsed="false">
      <c r="A58" s="27"/>
      <c r="B58" s="23"/>
      <c r="C58" s="26" t="str">
        <f aca="false">IF($B58="","",IFERROR(INDEX(Produits!$B$5:$B$204,MATCH($B58,Produits!$A$5:$A$204,0)),"Code inconnu"))</f>
        <v/>
      </c>
      <c r="D58" s="23"/>
      <c r="E58" s="24"/>
      <c r="F58" s="21" t="str">
        <f aca="false">IF(OR($B58="",$D58=""),"",IFERROR(IF($D58="Entrée",INDEX(Produits!$E$5:$E$204,MATCH($B58,Produits!$A$5:$A$204,0)),INDEX(Produits!$F$5:$F$204,MATCH($B58,Produits!$A$5:$A$204,0))),""))</f>
        <v/>
      </c>
      <c r="G58" s="21" t="str">
        <f aca="false">IF(OR($F58="",$E58=""),"",$E58*$F58)</f>
        <v/>
      </c>
      <c r="H58" s="21" t="str">
        <f aca="false">IF(AND($D58="Sortie",$B58&lt;&gt;"",$E58&lt;&gt;""),IFERROR($E58*INDEX(Produits!$E$5:$E$204,MATCH($B58,Produits!$A$5:$A$204,0)),""),"")</f>
        <v/>
      </c>
      <c r="I58" s="23"/>
    </row>
    <row r="59" customFormat="false" ht="15" hidden="false" customHeight="false" outlineLevel="0" collapsed="false">
      <c r="A59" s="27"/>
      <c r="B59" s="23"/>
      <c r="C59" s="26" t="str">
        <f aca="false">IF($B59="","",IFERROR(INDEX(Produits!$B$5:$B$204,MATCH($B59,Produits!$A$5:$A$204,0)),"Code inconnu"))</f>
        <v/>
      </c>
      <c r="D59" s="23"/>
      <c r="E59" s="24"/>
      <c r="F59" s="21" t="str">
        <f aca="false">IF(OR($B59="",$D59=""),"",IFERROR(IF($D59="Entrée",INDEX(Produits!$E$5:$E$204,MATCH($B59,Produits!$A$5:$A$204,0)),INDEX(Produits!$F$5:$F$204,MATCH($B59,Produits!$A$5:$A$204,0))),""))</f>
        <v/>
      </c>
      <c r="G59" s="21" t="str">
        <f aca="false">IF(OR($F59="",$E59=""),"",$E59*$F59)</f>
        <v/>
      </c>
      <c r="H59" s="21" t="str">
        <f aca="false">IF(AND($D59="Sortie",$B59&lt;&gt;"",$E59&lt;&gt;""),IFERROR($E59*INDEX(Produits!$E$5:$E$204,MATCH($B59,Produits!$A$5:$A$204,0)),""),"")</f>
        <v/>
      </c>
      <c r="I59" s="23"/>
    </row>
    <row r="60" customFormat="false" ht="15" hidden="false" customHeight="false" outlineLevel="0" collapsed="false">
      <c r="A60" s="27"/>
      <c r="B60" s="23"/>
      <c r="C60" s="26" t="str">
        <f aca="false">IF($B60="","",IFERROR(INDEX(Produits!$B$5:$B$204,MATCH($B60,Produits!$A$5:$A$204,0)),"Code inconnu"))</f>
        <v/>
      </c>
      <c r="D60" s="23"/>
      <c r="E60" s="24"/>
      <c r="F60" s="21" t="str">
        <f aca="false">IF(OR($B60="",$D60=""),"",IFERROR(IF($D60="Entrée",INDEX(Produits!$E$5:$E$204,MATCH($B60,Produits!$A$5:$A$204,0)),INDEX(Produits!$F$5:$F$204,MATCH($B60,Produits!$A$5:$A$204,0))),""))</f>
        <v/>
      </c>
      <c r="G60" s="21" t="str">
        <f aca="false">IF(OR($F60="",$E60=""),"",$E60*$F60)</f>
        <v/>
      </c>
      <c r="H60" s="21" t="str">
        <f aca="false">IF(AND($D60="Sortie",$B60&lt;&gt;"",$E60&lt;&gt;""),IFERROR($E60*INDEX(Produits!$E$5:$E$204,MATCH($B60,Produits!$A$5:$A$204,0)),""),"")</f>
        <v/>
      </c>
      <c r="I60" s="23"/>
    </row>
    <row r="61" customFormat="false" ht="15" hidden="false" customHeight="false" outlineLevel="0" collapsed="false">
      <c r="A61" s="27"/>
      <c r="B61" s="23"/>
      <c r="C61" s="26" t="str">
        <f aca="false">IF($B61="","",IFERROR(INDEX(Produits!$B$5:$B$204,MATCH($B61,Produits!$A$5:$A$204,0)),"Code inconnu"))</f>
        <v/>
      </c>
      <c r="D61" s="23"/>
      <c r="E61" s="24"/>
      <c r="F61" s="21" t="str">
        <f aca="false">IF(OR($B61="",$D61=""),"",IFERROR(IF($D61="Entrée",INDEX(Produits!$E$5:$E$204,MATCH($B61,Produits!$A$5:$A$204,0)),INDEX(Produits!$F$5:$F$204,MATCH($B61,Produits!$A$5:$A$204,0))),""))</f>
        <v/>
      </c>
      <c r="G61" s="21" t="str">
        <f aca="false">IF(OR($F61="",$E61=""),"",$E61*$F61)</f>
        <v/>
      </c>
      <c r="H61" s="21" t="str">
        <f aca="false">IF(AND($D61="Sortie",$B61&lt;&gt;"",$E61&lt;&gt;""),IFERROR($E61*INDEX(Produits!$E$5:$E$204,MATCH($B61,Produits!$A$5:$A$204,0)),""),"")</f>
        <v/>
      </c>
      <c r="I61" s="23"/>
    </row>
    <row r="62" customFormat="false" ht="15" hidden="false" customHeight="false" outlineLevel="0" collapsed="false">
      <c r="A62" s="27"/>
      <c r="B62" s="23"/>
      <c r="C62" s="26" t="str">
        <f aca="false">IF($B62="","",IFERROR(INDEX(Produits!$B$5:$B$204,MATCH($B62,Produits!$A$5:$A$204,0)),"Code inconnu"))</f>
        <v/>
      </c>
      <c r="D62" s="23"/>
      <c r="E62" s="24"/>
      <c r="F62" s="21" t="str">
        <f aca="false">IF(OR($B62="",$D62=""),"",IFERROR(IF($D62="Entrée",INDEX(Produits!$E$5:$E$204,MATCH($B62,Produits!$A$5:$A$204,0)),INDEX(Produits!$F$5:$F$204,MATCH($B62,Produits!$A$5:$A$204,0))),""))</f>
        <v/>
      </c>
      <c r="G62" s="21" t="str">
        <f aca="false">IF(OR($F62="",$E62=""),"",$E62*$F62)</f>
        <v/>
      </c>
      <c r="H62" s="21" t="str">
        <f aca="false">IF(AND($D62="Sortie",$B62&lt;&gt;"",$E62&lt;&gt;""),IFERROR($E62*INDEX(Produits!$E$5:$E$204,MATCH($B62,Produits!$A$5:$A$204,0)),""),"")</f>
        <v/>
      </c>
      <c r="I62" s="23"/>
    </row>
    <row r="63" customFormat="false" ht="15" hidden="false" customHeight="false" outlineLevel="0" collapsed="false">
      <c r="A63" s="27"/>
      <c r="B63" s="23"/>
      <c r="C63" s="26" t="str">
        <f aca="false">IF($B63="","",IFERROR(INDEX(Produits!$B$5:$B$204,MATCH($B63,Produits!$A$5:$A$204,0)),"Code inconnu"))</f>
        <v/>
      </c>
      <c r="D63" s="23"/>
      <c r="E63" s="24"/>
      <c r="F63" s="21" t="str">
        <f aca="false">IF(OR($B63="",$D63=""),"",IFERROR(IF($D63="Entrée",INDEX(Produits!$E$5:$E$204,MATCH($B63,Produits!$A$5:$A$204,0)),INDEX(Produits!$F$5:$F$204,MATCH($B63,Produits!$A$5:$A$204,0))),""))</f>
        <v/>
      </c>
      <c r="G63" s="21" t="str">
        <f aca="false">IF(OR($F63="",$E63=""),"",$E63*$F63)</f>
        <v/>
      </c>
      <c r="H63" s="21" t="str">
        <f aca="false">IF(AND($D63="Sortie",$B63&lt;&gt;"",$E63&lt;&gt;""),IFERROR($E63*INDEX(Produits!$E$5:$E$204,MATCH($B63,Produits!$A$5:$A$204,0)),""),"")</f>
        <v/>
      </c>
      <c r="I63" s="23"/>
    </row>
    <row r="64" customFormat="false" ht="15" hidden="false" customHeight="false" outlineLevel="0" collapsed="false">
      <c r="A64" s="27"/>
      <c r="B64" s="23"/>
      <c r="C64" s="26" t="str">
        <f aca="false">IF($B64="","",IFERROR(INDEX(Produits!$B$5:$B$204,MATCH($B64,Produits!$A$5:$A$204,0)),"Code inconnu"))</f>
        <v/>
      </c>
      <c r="D64" s="23"/>
      <c r="E64" s="24"/>
      <c r="F64" s="21" t="str">
        <f aca="false">IF(OR($B64="",$D64=""),"",IFERROR(IF($D64="Entrée",INDEX(Produits!$E$5:$E$204,MATCH($B64,Produits!$A$5:$A$204,0)),INDEX(Produits!$F$5:$F$204,MATCH($B64,Produits!$A$5:$A$204,0))),""))</f>
        <v/>
      </c>
      <c r="G64" s="21" t="str">
        <f aca="false">IF(OR($F64="",$E64=""),"",$E64*$F64)</f>
        <v/>
      </c>
      <c r="H64" s="21" t="str">
        <f aca="false">IF(AND($D64="Sortie",$B64&lt;&gt;"",$E64&lt;&gt;""),IFERROR($E64*INDEX(Produits!$E$5:$E$204,MATCH($B64,Produits!$A$5:$A$204,0)),""),"")</f>
        <v/>
      </c>
      <c r="I64" s="23"/>
    </row>
    <row r="65" customFormat="false" ht="15" hidden="false" customHeight="false" outlineLevel="0" collapsed="false">
      <c r="A65" s="27"/>
      <c r="B65" s="23"/>
      <c r="C65" s="26" t="str">
        <f aca="false">IF($B65="","",IFERROR(INDEX(Produits!$B$5:$B$204,MATCH($B65,Produits!$A$5:$A$204,0)),"Code inconnu"))</f>
        <v/>
      </c>
      <c r="D65" s="23"/>
      <c r="E65" s="24"/>
      <c r="F65" s="21" t="str">
        <f aca="false">IF(OR($B65="",$D65=""),"",IFERROR(IF($D65="Entrée",INDEX(Produits!$E$5:$E$204,MATCH($B65,Produits!$A$5:$A$204,0)),INDEX(Produits!$F$5:$F$204,MATCH($B65,Produits!$A$5:$A$204,0))),""))</f>
        <v/>
      </c>
      <c r="G65" s="21" t="str">
        <f aca="false">IF(OR($F65="",$E65=""),"",$E65*$F65)</f>
        <v/>
      </c>
      <c r="H65" s="21" t="str">
        <f aca="false">IF(AND($D65="Sortie",$B65&lt;&gt;"",$E65&lt;&gt;""),IFERROR($E65*INDEX(Produits!$E$5:$E$204,MATCH($B65,Produits!$A$5:$A$204,0)),""),"")</f>
        <v/>
      </c>
      <c r="I65" s="23"/>
    </row>
    <row r="66" customFormat="false" ht="15" hidden="false" customHeight="false" outlineLevel="0" collapsed="false">
      <c r="A66" s="27"/>
      <c r="B66" s="23"/>
      <c r="C66" s="26" t="str">
        <f aca="false">IF($B66="","",IFERROR(INDEX(Produits!$B$5:$B$204,MATCH($B66,Produits!$A$5:$A$204,0)),"Code inconnu"))</f>
        <v/>
      </c>
      <c r="D66" s="23"/>
      <c r="E66" s="24"/>
      <c r="F66" s="21" t="str">
        <f aca="false">IF(OR($B66="",$D66=""),"",IFERROR(IF($D66="Entrée",INDEX(Produits!$E$5:$E$204,MATCH($B66,Produits!$A$5:$A$204,0)),INDEX(Produits!$F$5:$F$204,MATCH($B66,Produits!$A$5:$A$204,0))),""))</f>
        <v/>
      </c>
      <c r="G66" s="21" t="str">
        <f aca="false">IF(OR($F66="",$E66=""),"",$E66*$F66)</f>
        <v/>
      </c>
      <c r="H66" s="21" t="str">
        <f aca="false">IF(AND($D66="Sortie",$B66&lt;&gt;"",$E66&lt;&gt;""),IFERROR($E66*INDEX(Produits!$E$5:$E$204,MATCH($B66,Produits!$A$5:$A$204,0)),""),"")</f>
        <v/>
      </c>
      <c r="I66" s="23"/>
    </row>
    <row r="67" customFormat="false" ht="15" hidden="false" customHeight="false" outlineLevel="0" collapsed="false">
      <c r="A67" s="27"/>
      <c r="B67" s="23"/>
      <c r="C67" s="26" t="str">
        <f aca="false">IF($B67="","",IFERROR(INDEX(Produits!$B$5:$B$204,MATCH($B67,Produits!$A$5:$A$204,0)),"Code inconnu"))</f>
        <v/>
      </c>
      <c r="D67" s="23"/>
      <c r="E67" s="24"/>
      <c r="F67" s="21" t="str">
        <f aca="false">IF(OR($B67="",$D67=""),"",IFERROR(IF($D67="Entrée",INDEX(Produits!$E$5:$E$204,MATCH($B67,Produits!$A$5:$A$204,0)),INDEX(Produits!$F$5:$F$204,MATCH($B67,Produits!$A$5:$A$204,0))),""))</f>
        <v/>
      </c>
      <c r="G67" s="21" t="str">
        <f aca="false">IF(OR($F67="",$E67=""),"",$E67*$F67)</f>
        <v/>
      </c>
      <c r="H67" s="21" t="str">
        <f aca="false">IF(AND($D67="Sortie",$B67&lt;&gt;"",$E67&lt;&gt;""),IFERROR($E67*INDEX(Produits!$E$5:$E$204,MATCH($B67,Produits!$A$5:$A$204,0)),""),"")</f>
        <v/>
      </c>
      <c r="I67" s="23"/>
    </row>
    <row r="68" customFormat="false" ht="15" hidden="false" customHeight="false" outlineLevel="0" collapsed="false">
      <c r="A68" s="27"/>
      <c r="B68" s="23"/>
      <c r="C68" s="26" t="str">
        <f aca="false">IF($B68="","",IFERROR(INDEX(Produits!$B$5:$B$204,MATCH($B68,Produits!$A$5:$A$204,0)),"Code inconnu"))</f>
        <v/>
      </c>
      <c r="D68" s="23"/>
      <c r="E68" s="24"/>
      <c r="F68" s="21" t="str">
        <f aca="false">IF(OR($B68="",$D68=""),"",IFERROR(IF($D68="Entrée",INDEX(Produits!$E$5:$E$204,MATCH($B68,Produits!$A$5:$A$204,0)),INDEX(Produits!$F$5:$F$204,MATCH($B68,Produits!$A$5:$A$204,0))),""))</f>
        <v/>
      </c>
      <c r="G68" s="21" t="str">
        <f aca="false">IF(OR($F68="",$E68=""),"",$E68*$F68)</f>
        <v/>
      </c>
      <c r="H68" s="21" t="str">
        <f aca="false">IF(AND($D68="Sortie",$B68&lt;&gt;"",$E68&lt;&gt;""),IFERROR($E68*INDEX(Produits!$E$5:$E$204,MATCH($B68,Produits!$A$5:$A$204,0)),""),"")</f>
        <v/>
      </c>
      <c r="I68" s="23"/>
    </row>
    <row r="69" customFormat="false" ht="15" hidden="false" customHeight="false" outlineLevel="0" collapsed="false">
      <c r="A69" s="27"/>
      <c r="B69" s="23"/>
      <c r="C69" s="26" t="str">
        <f aca="false">IF($B69="","",IFERROR(INDEX(Produits!$B$5:$B$204,MATCH($B69,Produits!$A$5:$A$204,0)),"Code inconnu"))</f>
        <v/>
      </c>
      <c r="D69" s="23"/>
      <c r="E69" s="24"/>
      <c r="F69" s="21" t="str">
        <f aca="false">IF(OR($B69="",$D69=""),"",IFERROR(IF($D69="Entrée",INDEX(Produits!$E$5:$E$204,MATCH($B69,Produits!$A$5:$A$204,0)),INDEX(Produits!$F$5:$F$204,MATCH($B69,Produits!$A$5:$A$204,0))),""))</f>
        <v/>
      </c>
      <c r="G69" s="21" t="str">
        <f aca="false">IF(OR($F69="",$E69=""),"",$E69*$F69)</f>
        <v/>
      </c>
      <c r="H69" s="21" t="str">
        <f aca="false">IF(AND($D69="Sortie",$B69&lt;&gt;"",$E69&lt;&gt;""),IFERROR($E69*INDEX(Produits!$E$5:$E$204,MATCH($B69,Produits!$A$5:$A$204,0)),""),"")</f>
        <v/>
      </c>
      <c r="I69" s="23"/>
    </row>
    <row r="70" customFormat="false" ht="15" hidden="false" customHeight="false" outlineLevel="0" collapsed="false">
      <c r="A70" s="27"/>
      <c r="B70" s="23"/>
      <c r="C70" s="26" t="str">
        <f aca="false">IF($B70="","",IFERROR(INDEX(Produits!$B$5:$B$204,MATCH($B70,Produits!$A$5:$A$204,0)),"Code inconnu"))</f>
        <v/>
      </c>
      <c r="D70" s="23"/>
      <c r="E70" s="24"/>
      <c r="F70" s="21" t="str">
        <f aca="false">IF(OR($B70="",$D70=""),"",IFERROR(IF($D70="Entrée",INDEX(Produits!$E$5:$E$204,MATCH($B70,Produits!$A$5:$A$204,0)),INDEX(Produits!$F$5:$F$204,MATCH($B70,Produits!$A$5:$A$204,0))),""))</f>
        <v/>
      </c>
      <c r="G70" s="21" t="str">
        <f aca="false">IF(OR($F70="",$E70=""),"",$E70*$F70)</f>
        <v/>
      </c>
      <c r="H70" s="21" t="str">
        <f aca="false">IF(AND($D70="Sortie",$B70&lt;&gt;"",$E70&lt;&gt;""),IFERROR($E70*INDEX(Produits!$E$5:$E$204,MATCH($B70,Produits!$A$5:$A$204,0)),""),"")</f>
        <v/>
      </c>
      <c r="I70" s="23"/>
    </row>
    <row r="71" customFormat="false" ht="15" hidden="false" customHeight="false" outlineLevel="0" collapsed="false">
      <c r="A71" s="27"/>
      <c r="B71" s="23"/>
      <c r="C71" s="26" t="str">
        <f aca="false">IF($B71="","",IFERROR(INDEX(Produits!$B$5:$B$204,MATCH($B71,Produits!$A$5:$A$204,0)),"Code inconnu"))</f>
        <v/>
      </c>
      <c r="D71" s="23"/>
      <c r="E71" s="24"/>
      <c r="F71" s="21" t="str">
        <f aca="false">IF(OR($B71="",$D71=""),"",IFERROR(IF($D71="Entrée",INDEX(Produits!$E$5:$E$204,MATCH($B71,Produits!$A$5:$A$204,0)),INDEX(Produits!$F$5:$F$204,MATCH($B71,Produits!$A$5:$A$204,0))),""))</f>
        <v/>
      </c>
      <c r="G71" s="21" t="str">
        <f aca="false">IF(OR($F71="",$E71=""),"",$E71*$F71)</f>
        <v/>
      </c>
      <c r="H71" s="21" t="str">
        <f aca="false">IF(AND($D71="Sortie",$B71&lt;&gt;"",$E71&lt;&gt;""),IFERROR($E71*INDEX(Produits!$E$5:$E$204,MATCH($B71,Produits!$A$5:$A$204,0)),""),"")</f>
        <v/>
      </c>
      <c r="I71" s="23"/>
    </row>
    <row r="72" customFormat="false" ht="15" hidden="false" customHeight="false" outlineLevel="0" collapsed="false">
      <c r="A72" s="27"/>
      <c r="B72" s="23"/>
      <c r="C72" s="26" t="str">
        <f aca="false">IF($B72="","",IFERROR(INDEX(Produits!$B$5:$B$204,MATCH($B72,Produits!$A$5:$A$204,0)),"Code inconnu"))</f>
        <v/>
      </c>
      <c r="D72" s="23"/>
      <c r="E72" s="24"/>
      <c r="F72" s="21" t="str">
        <f aca="false">IF(OR($B72="",$D72=""),"",IFERROR(IF($D72="Entrée",INDEX(Produits!$E$5:$E$204,MATCH($B72,Produits!$A$5:$A$204,0)),INDEX(Produits!$F$5:$F$204,MATCH($B72,Produits!$A$5:$A$204,0))),""))</f>
        <v/>
      </c>
      <c r="G72" s="21" t="str">
        <f aca="false">IF(OR($F72="",$E72=""),"",$E72*$F72)</f>
        <v/>
      </c>
      <c r="H72" s="21" t="str">
        <f aca="false">IF(AND($D72="Sortie",$B72&lt;&gt;"",$E72&lt;&gt;""),IFERROR($E72*INDEX(Produits!$E$5:$E$204,MATCH($B72,Produits!$A$5:$A$204,0)),""),"")</f>
        <v/>
      </c>
      <c r="I72" s="23"/>
    </row>
    <row r="73" customFormat="false" ht="15" hidden="false" customHeight="false" outlineLevel="0" collapsed="false">
      <c r="A73" s="27"/>
      <c r="B73" s="23"/>
      <c r="C73" s="26" t="str">
        <f aca="false">IF($B73="","",IFERROR(INDEX(Produits!$B$5:$B$204,MATCH($B73,Produits!$A$5:$A$204,0)),"Code inconnu"))</f>
        <v/>
      </c>
      <c r="D73" s="23"/>
      <c r="E73" s="24"/>
      <c r="F73" s="21" t="str">
        <f aca="false">IF(OR($B73="",$D73=""),"",IFERROR(IF($D73="Entrée",INDEX(Produits!$E$5:$E$204,MATCH($B73,Produits!$A$5:$A$204,0)),INDEX(Produits!$F$5:$F$204,MATCH($B73,Produits!$A$5:$A$204,0))),""))</f>
        <v/>
      </c>
      <c r="G73" s="21" t="str">
        <f aca="false">IF(OR($F73="",$E73=""),"",$E73*$F73)</f>
        <v/>
      </c>
      <c r="H73" s="21" t="str">
        <f aca="false">IF(AND($D73="Sortie",$B73&lt;&gt;"",$E73&lt;&gt;""),IFERROR($E73*INDEX(Produits!$E$5:$E$204,MATCH($B73,Produits!$A$5:$A$204,0)),""),"")</f>
        <v/>
      </c>
      <c r="I73" s="23"/>
    </row>
    <row r="74" customFormat="false" ht="15" hidden="false" customHeight="false" outlineLevel="0" collapsed="false">
      <c r="A74" s="27"/>
      <c r="B74" s="23"/>
      <c r="C74" s="26" t="str">
        <f aca="false">IF($B74="","",IFERROR(INDEX(Produits!$B$5:$B$204,MATCH($B74,Produits!$A$5:$A$204,0)),"Code inconnu"))</f>
        <v/>
      </c>
      <c r="D74" s="23"/>
      <c r="E74" s="24"/>
      <c r="F74" s="21" t="str">
        <f aca="false">IF(OR($B74="",$D74=""),"",IFERROR(IF($D74="Entrée",INDEX(Produits!$E$5:$E$204,MATCH($B74,Produits!$A$5:$A$204,0)),INDEX(Produits!$F$5:$F$204,MATCH($B74,Produits!$A$5:$A$204,0))),""))</f>
        <v/>
      </c>
      <c r="G74" s="21" t="str">
        <f aca="false">IF(OR($F74="",$E74=""),"",$E74*$F74)</f>
        <v/>
      </c>
      <c r="H74" s="21" t="str">
        <f aca="false">IF(AND($D74="Sortie",$B74&lt;&gt;"",$E74&lt;&gt;""),IFERROR($E74*INDEX(Produits!$E$5:$E$204,MATCH($B74,Produits!$A$5:$A$204,0)),""),"")</f>
        <v/>
      </c>
      <c r="I74" s="23"/>
    </row>
    <row r="75" customFormat="false" ht="15" hidden="false" customHeight="false" outlineLevel="0" collapsed="false">
      <c r="A75" s="27"/>
      <c r="B75" s="23"/>
      <c r="C75" s="26" t="str">
        <f aca="false">IF($B75="","",IFERROR(INDEX(Produits!$B$5:$B$204,MATCH($B75,Produits!$A$5:$A$204,0)),"Code inconnu"))</f>
        <v/>
      </c>
      <c r="D75" s="23"/>
      <c r="E75" s="24"/>
      <c r="F75" s="21" t="str">
        <f aca="false">IF(OR($B75="",$D75=""),"",IFERROR(IF($D75="Entrée",INDEX(Produits!$E$5:$E$204,MATCH($B75,Produits!$A$5:$A$204,0)),INDEX(Produits!$F$5:$F$204,MATCH($B75,Produits!$A$5:$A$204,0))),""))</f>
        <v/>
      </c>
      <c r="G75" s="21" t="str">
        <f aca="false">IF(OR($F75="",$E75=""),"",$E75*$F75)</f>
        <v/>
      </c>
      <c r="H75" s="21" t="str">
        <f aca="false">IF(AND($D75="Sortie",$B75&lt;&gt;"",$E75&lt;&gt;""),IFERROR($E75*INDEX(Produits!$E$5:$E$204,MATCH($B75,Produits!$A$5:$A$204,0)),""),"")</f>
        <v/>
      </c>
      <c r="I75" s="23"/>
    </row>
    <row r="76" customFormat="false" ht="15" hidden="false" customHeight="false" outlineLevel="0" collapsed="false">
      <c r="A76" s="27"/>
      <c r="B76" s="23"/>
      <c r="C76" s="26" t="str">
        <f aca="false">IF($B76="","",IFERROR(INDEX(Produits!$B$5:$B$204,MATCH($B76,Produits!$A$5:$A$204,0)),"Code inconnu"))</f>
        <v/>
      </c>
      <c r="D76" s="23"/>
      <c r="E76" s="24"/>
      <c r="F76" s="21" t="str">
        <f aca="false">IF(OR($B76="",$D76=""),"",IFERROR(IF($D76="Entrée",INDEX(Produits!$E$5:$E$204,MATCH($B76,Produits!$A$5:$A$204,0)),INDEX(Produits!$F$5:$F$204,MATCH($B76,Produits!$A$5:$A$204,0))),""))</f>
        <v/>
      </c>
      <c r="G76" s="21" t="str">
        <f aca="false">IF(OR($F76="",$E76=""),"",$E76*$F76)</f>
        <v/>
      </c>
      <c r="H76" s="21" t="str">
        <f aca="false">IF(AND($D76="Sortie",$B76&lt;&gt;"",$E76&lt;&gt;""),IFERROR($E76*INDEX(Produits!$E$5:$E$204,MATCH($B76,Produits!$A$5:$A$204,0)),""),"")</f>
        <v/>
      </c>
      <c r="I76" s="23"/>
    </row>
    <row r="77" customFormat="false" ht="15" hidden="false" customHeight="false" outlineLevel="0" collapsed="false">
      <c r="A77" s="27"/>
      <c r="B77" s="23"/>
      <c r="C77" s="26" t="str">
        <f aca="false">IF($B77="","",IFERROR(INDEX(Produits!$B$5:$B$204,MATCH($B77,Produits!$A$5:$A$204,0)),"Code inconnu"))</f>
        <v/>
      </c>
      <c r="D77" s="23"/>
      <c r="E77" s="24"/>
      <c r="F77" s="21" t="str">
        <f aca="false">IF(OR($B77="",$D77=""),"",IFERROR(IF($D77="Entrée",INDEX(Produits!$E$5:$E$204,MATCH($B77,Produits!$A$5:$A$204,0)),INDEX(Produits!$F$5:$F$204,MATCH($B77,Produits!$A$5:$A$204,0))),""))</f>
        <v/>
      </c>
      <c r="G77" s="21" t="str">
        <f aca="false">IF(OR($F77="",$E77=""),"",$E77*$F77)</f>
        <v/>
      </c>
      <c r="H77" s="21" t="str">
        <f aca="false">IF(AND($D77="Sortie",$B77&lt;&gt;"",$E77&lt;&gt;""),IFERROR($E77*INDEX(Produits!$E$5:$E$204,MATCH($B77,Produits!$A$5:$A$204,0)),""),"")</f>
        <v/>
      </c>
      <c r="I77" s="23"/>
    </row>
    <row r="78" customFormat="false" ht="15" hidden="false" customHeight="false" outlineLevel="0" collapsed="false">
      <c r="A78" s="27"/>
      <c r="B78" s="23"/>
      <c r="C78" s="26" t="str">
        <f aca="false">IF($B78="","",IFERROR(INDEX(Produits!$B$5:$B$204,MATCH($B78,Produits!$A$5:$A$204,0)),"Code inconnu"))</f>
        <v/>
      </c>
      <c r="D78" s="23"/>
      <c r="E78" s="24"/>
      <c r="F78" s="21" t="str">
        <f aca="false">IF(OR($B78="",$D78=""),"",IFERROR(IF($D78="Entrée",INDEX(Produits!$E$5:$E$204,MATCH($B78,Produits!$A$5:$A$204,0)),INDEX(Produits!$F$5:$F$204,MATCH($B78,Produits!$A$5:$A$204,0))),""))</f>
        <v/>
      </c>
      <c r="G78" s="21" t="str">
        <f aca="false">IF(OR($F78="",$E78=""),"",$E78*$F78)</f>
        <v/>
      </c>
      <c r="H78" s="21" t="str">
        <f aca="false">IF(AND($D78="Sortie",$B78&lt;&gt;"",$E78&lt;&gt;""),IFERROR($E78*INDEX(Produits!$E$5:$E$204,MATCH($B78,Produits!$A$5:$A$204,0)),""),"")</f>
        <v/>
      </c>
      <c r="I78" s="23"/>
    </row>
    <row r="79" customFormat="false" ht="15" hidden="false" customHeight="false" outlineLevel="0" collapsed="false">
      <c r="A79" s="27"/>
      <c r="B79" s="23"/>
      <c r="C79" s="26" t="str">
        <f aca="false">IF($B79="","",IFERROR(INDEX(Produits!$B$5:$B$204,MATCH($B79,Produits!$A$5:$A$204,0)),"Code inconnu"))</f>
        <v/>
      </c>
      <c r="D79" s="23"/>
      <c r="E79" s="24"/>
      <c r="F79" s="21" t="str">
        <f aca="false">IF(OR($B79="",$D79=""),"",IFERROR(IF($D79="Entrée",INDEX(Produits!$E$5:$E$204,MATCH($B79,Produits!$A$5:$A$204,0)),INDEX(Produits!$F$5:$F$204,MATCH($B79,Produits!$A$5:$A$204,0))),""))</f>
        <v/>
      </c>
      <c r="G79" s="21" t="str">
        <f aca="false">IF(OR($F79="",$E79=""),"",$E79*$F79)</f>
        <v/>
      </c>
      <c r="H79" s="21" t="str">
        <f aca="false">IF(AND($D79="Sortie",$B79&lt;&gt;"",$E79&lt;&gt;""),IFERROR($E79*INDEX(Produits!$E$5:$E$204,MATCH($B79,Produits!$A$5:$A$204,0)),""),"")</f>
        <v/>
      </c>
      <c r="I79" s="23"/>
    </row>
    <row r="80" customFormat="false" ht="15" hidden="false" customHeight="false" outlineLevel="0" collapsed="false">
      <c r="A80" s="27"/>
      <c r="B80" s="23"/>
      <c r="C80" s="26" t="str">
        <f aca="false">IF($B80="","",IFERROR(INDEX(Produits!$B$5:$B$204,MATCH($B80,Produits!$A$5:$A$204,0)),"Code inconnu"))</f>
        <v/>
      </c>
      <c r="D80" s="23"/>
      <c r="E80" s="24"/>
      <c r="F80" s="21" t="str">
        <f aca="false">IF(OR($B80="",$D80=""),"",IFERROR(IF($D80="Entrée",INDEX(Produits!$E$5:$E$204,MATCH($B80,Produits!$A$5:$A$204,0)),INDEX(Produits!$F$5:$F$204,MATCH($B80,Produits!$A$5:$A$204,0))),""))</f>
        <v/>
      </c>
      <c r="G80" s="21" t="str">
        <f aca="false">IF(OR($F80="",$E80=""),"",$E80*$F80)</f>
        <v/>
      </c>
      <c r="H80" s="21" t="str">
        <f aca="false">IF(AND($D80="Sortie",$B80&lt;&gt;"",$E80&lt;&gt;""),IFERROR($E80*INDEX(Produits!$E$5:$E$204,MATCH($B80,Produits!$A$5:$A$204,0)),""),"")</f>
        <v/>
      </c>
      <c r="I80" s="23"/>
    </row>
    <row r="81" customFormat="false" ht="15" hidden="false" customHeight="false" outlineLevel="0" collapsed="false">
      <c r="A81" s="27"/>
      <c r="B81" s="23"/>
      <c r="C81" s="26" t="str">
        <f aca="false">IF($B81="","",IFERROR(INDEX(Produits!$B$5:$B$204,MATCH($B81,Produits!$A$5:$A$204,0)),"Code inconnu"))</f>
        <v/>
      </c>
      <c r="D81" s="23"/>
      <c r="E81" s="24"/>
      <c r="F81" s="21" t="str">
        <f aca="false">IF(OR($B81="",$D81=""),"",IFERROR(IF($D81="Entrée",INDEX(Produits!$E$5:$E$204,MATCH($B81,Produits!$A$5:$A$204,0)),INDEX(Produits!$F$5:$F$204,MATCH($B81,Produits!$A$5:$A$204,0))),""))</f>
        <v/>
      </c>
      <c r="G81" s="21" t="str">
        <f aca="false">IF(OR($F81="",$E81=""),"",$E81*$F81)</f>
        <v/>
      </c>
      <c r="H81" s="21" t="str">
        <f aca="false">IF(AND($D81="Sortie",$B81&lt;&gt;"",$E81&lt;&gt;""),IFERROR($E81*INDEX(Produits!$E$5:$E$204,MATCH($B81,Produits!$A$5:$A$204,0)),""),"")</f>
        <v/>
      </c>
      <c r="I81" s="23"/>
    </row>
    <row r="82" customFormat="false" ht="15" hidden="false" customHeight="false" outlineLevel="0" collapsed="false">
      <c r="A82" s="27"/>
      <c r="B82" s="23"/>
      <c r="C82" s="26" t="str">
        <f aca="false">IF($B82="","",IFERROR(INDEX(Produits!$B$5:$B$204,MATCH($B82,Produits!$A$5:$A$204,0)),"Code inconnu"))</f>
        <v/>
      </c>
      <c r="D82" s="23"/>
      <c r="E82" s="24"/>
      <c r="F82" s="21" t="str">
        <f aca="false">IF(OR($B82="",$D82=""),"",IFERROR(IF($D82="Entrée",INDEX(Produits!$E$5:$E$204,MATCH($B82,Produits!$A$5:$A$204,0)),INDEX(Produits!$F$5:$F$204,MATCH($B82,Produits!$A$5:$A$204,0))),""))</f>
        <v/>
      </c>
      <c r="G82" s="21" t="str">
        <f aca="false">IF(OR($F82="",$E82=""),"",$E82*$F82)</f>
        <v/>
      </c>
      <c r="H82" s="21" t="str">
        <f aca="false">IF(AND($D82="Sortie",$B82&lt;&gt;"",$E82&lt;&gt;""),IFERROR($E82*INDEX(Produits!$E$5:$E$204,MATCH($B82,Produits!$A$5:$A$204,0)),""),"")</f>
        <v/>
      </c>
      <c r="I82" s="23"/>
    </row>
    <row r="83" customFormat="false" ht="15" hidden="false" customHeight="false" outlineLevel="0" collapsed="false">
      <c r="A83" s="27"/>
      <c r="B83" s="23"/>
      <c r="C83" s="26" t="str">
        <f aca="false">IF($B83="","",IFERROR(INDEX(Produits!$B$5:$B$204,MATCH($B83,Produits!$A$5:$A$204,0)),"Code inconnu"))</f>
        <v/>
      </c>
      <c r="D83" s="23"/>
      <c r="E83" s="24"/>
      <c r="F83" s="21" t="str">
        <f aca="false">IF(OR($B83="",$D83=""),"",IFERROR(IF($D83="Entrée",INDEX(Produits!$E$5:$E$204,MATCH($B83,Produits!$A$5:$A$204,0)),INDEX(Produits!$F$5:$F$204,MATCH($B83,Produits!$A$5:$A$204,0))),""))</f>
        <v/>
      </c>
      <c r="G83" s="21" t="str">
        <f aca="false">IF(OR($F83="",$E83=""),"",$E83*$F83)</f>
        <v/>
      </c>
      <c r="H83" s="21" t="str">
        <f aca="false">IF(AND($D83="Sortie",$B83&lt;&gt;"",$E83&lt;&gt;""),IFERROR($E83*INDEX(Produits!$E$5:$E$204,MATCH($B83,Produits!$A$5:$A$204,0)),""),"")</f>
        <v/>
      </c>
      <c r="I83" s="23"/>
    </row>
    <row r="84" customFormat="false" ht="15" hidden="false" customHeight="false" outlineLevel="0" collapsed="false">
      <c r="A84" s="27"/>
      <c r="B84" s="23"/>
      <c r="C84" s="26" t="str">
        <f aca="false">IF($B84="","",IFERROR(INDEX(Produits!$B$5:$B$204,MATCH($B84,Produits!$A$5:$A$204,0)),"Code inconnu"))</f>
        <v/>
      </c>
      <c r="D84" s="23"/>
      <c r="E84" s="24"/>
      <c r="F84" s="21" t="str">
        <f aca="false">IF(OR($B84="",$D84=""),"",IFERROR(IF($D84="Entrée",INDEX(Produits!$E$5:$E$204,MATCH($B84,Produits!$A$5:$A$204,0)),INDEX(Produits!$F$5:$F$204,MATCH($B84,Produits!$A$5:$A$204,0))),""))</f>
        <v/>
      </c>
      <c r="G84" s="21" t="str">
        <f aca="false">IF(OR($F84="",$E84=""),"",$E84*$F84)</f>
        <v/>
      </c>
      <c r="H84" s="21" t="str">
        <f aca="false">IF(AND($D84="Sortie",$B84&lt;&gt;"",$E84&lt;&gt;""),IFERROR($E84*INDEX(Produits!$E$5:$E$204,MATCH($B84,Produits!$A$5:$A$204,0)),""),"")</f>
        <v/>
      </c>
      <c r="I84" s="23"/>
    </row>
    <row r="85" customFormat="false" ht="15" hidden="false" customHeight="false" outlineLevel="0" collapsed="false">
      <c r="A85" s="27"/>
      <c r="B85" s="23"/>
      <c r="C85" s="26" t="str">
        <f aca="false">IF($B85="","",IFERROR(INDEX(Produits!$B$5:$B$204,MATCH($B85,Produits!$A$5:$A$204,0)),"Code inconnu"))</f>
        <v/>
      </c>
      <c r="D85" s="23"/>
      <c r="E85" s="24"/>
      <c r="F85" s="21" t="str">
        <f aca="false">IF(OR($B85="",$D85=""),"",IFERROR(IF($D85="Entrée",INDEX(Produits!$E$5:$E$204,MATCH($B85,Produits!$A$5:$A$204,0)),INDEX(Produits!$F$5:$F$204,MATCH($B85,Produits!$A$5:$A$204,0))),""))</f>
        <v/>
      </c>
      <c r="G85" s="21" t="str">
        <f aca="false">IF(OR($F85="",$E85=""),"",$E85*$F85)</f>
        <v/>
      </c>
      <c r="H85" s="21" t="str">
        <f aca="false">IF(AND($D85="Sortie",$B85&lt;&gt;"",$E85&lt;&gt;""),IFERROR($E85*INDEX(Produits!$E$5:$E$204,MATCH($B85,Produits!$A$5:$A$204,0)),""),"")</f>
        <v/>
      </c>
      <c r="I85" s="23"/>
    </row>
    <row r="86" customFormat="false" ht="15" hidden="false" customHeight="false" outlineLevel="0" collapsed="false">
      <c r="A86" s="27"/>
      <c r="B86" s="23"/>
      <c r="C86" s="26" t="str">
        <f aca="false">IF($B86="","",IFERROR(INDEX(Produits!$B$5:$B$204,MATCH($B86,Produits!$A$5:$A$204,0)),"Code inconnu"))</f>
        <v/>
      </c>
      <c r="D86" s="23"/>
      <c r="E86" s="24"/>
      <c r="F86" s="21" t="str">
        <f aca="false">IF(OR($B86="",$D86=""),"",IFERROR(IF($D86="Entrée",INDEX(Produits!$E$5:$E$204,MATCH($B86,Produits!$A$5:$A$204,0)),INDEX(Produits!$F$5:$F$204,MATCH($B86,Produits!$A$5:$A$204,0))),""))</f>
        <v/>
      </c>
      <c r="G86" s="21" t="str">
        <f aca="false">IF(OR($F86="",$E86=""),"",$E86*$F86)</f>
        <v/>
      </c>
      <c r="H86" s="21" t="str">
        <f aca="false">IF(AND($D86="Sortie",$B86&lt;&gt;"",$E86&lt;&gt;""),IFERROR($E86*INDEX(Produits!$E$5:$E$204,MATCH($B86,Produits!$A$5:$A$204,0)),""),"")</f>
        <v/>
      </c>
      <c r="I86" s="23"/>
    </row>
    <row r="87" customFormat="false" ht="15" hidden="false" customHeight="false" outlineLevel="0" collapsed="false">
      <c r="A87" s="27"/>
      <c r="B87" s="23"/>
      <c r="C87" s="26" t="str">
        <f aca="false">IF($B87="","",IFERROR(INDEX(Produits!$B$5:$B$204,MATCH($B87,Produits!$A$5:$A$204,0)),"Code inconnu"))</f>
        <v/>
      </c>
      <c r="D87" s="23"/>
      <c r="E87" s="24"/>
      <c r="F87" s="21" t="str">
        <f aca="false">IF(OR($B87="",$D87=""),"",IFERROR(IF($D87="Entrée",INDEX(Produits!$E$5:$E$204,MATCH($B87,Produits!$A$5:$A$204,0)),INDEX(Produits!$F$5:$F$204,MATCH($B87,Produits!$A$5:$A$204,0))),""))</f>
        <v/>
      </c>
      <c r="G87" s="21" t="str">
        <f aca="false">IF(OR($F87="",$E87=""),"",$E87*$F87)</f>
        <v/>
      </c>
      <c r="H87" s="21" t="str">
        <f aca="false">IF(AND($D87="Sortie",$B87&lt;&gt;"",$E87&lt;&gt;""),IFERROR($E87*INDEX(Produits!$E$5:$E$204,MATCH($B87,Produits!$A$5:$A$204,0)),""),"")</f>
        <v/>
      </c>
      <c r="I87" s="23"/>
    </row>
    <row r="88" customFormat="false" ht="15" hidden="false" customHeight="false" outlineLevel="0" collapsed="false">
      <c r="A88" s="27"/>
      <c r="B88" s="23"/>
      <c r="C88" s="26" t="str">
        <f aca="false">IF($B88="","",IFERROR(INDEX(Produits!$B$5:$B$204,MATCH($B88,Produits!$A$5:$A$204,0)),"Code inconnu"))</f>
        <v/>
      </c>
      <c r="D88" s="23"/>
      <c r="E88" s="24"/>
      <c r="F88" s="21" t="str">
        <f aca="false">IF(OR($B88="",$D88=""),"",IFERROR(IF($D88="Entrée",INDEX(Produits!$E$5:$E$204,MATCH($B88,Produits!$A$5:$A$204,0)),INDEX(Produits!$F$5:$F$204,MATCH($B88,Produits!$A$5:$A$204,0))),""))</f>
        <v/>
      </c>
      <c r="G88" s="21" t="str">
        <f aca="false">IF(OR($F88="",$E88=""),"",$E88*$F88)</f>
        <v/>
      </c>
      <c r="H88" s="21" t="str">
        <f aca="false">IF(AND($D88="Sortie",$B88&lt;&gt;"",$E88&lt;&gt;""),IFERROR($E88*INDEX(Produits!$E$5:$E$204,MATCH($B88,Produits!$A$5:$A$204,0)),""),"")</f>
        <v/>
      </c>
      <c r="I88" s="23"/>
    </row>
    <row r="89" customFormat="false" ht="15" hidden="false" customHeight="false" outlineLevel="0" collapsed="false">
      <c r="A89" s="27"/>
      <c r="B89" s="23"/>
      <c r="C89" s="26" t="str">
        <f aca="false">IF($B89="","",IFERROR(INDEX(Produits!$B$5:$B$204,MATCH($B89,Produits!$A$5:$A$204,0)),"Code inconnu"))</f>
        <v/>
      </c>
      <c r="D89" s="23"/>
      <c r="E89" s="24"/>
      <c r="F89" s="21" t="str">
        <f aca="false">IF(OR($B89="",$D89=""),"",IFERROR(IF($D89="Entrée",INDEX(Produits!$E$5:$E$204,MATCH($B89,Produits!$A$5:$A$204,0)),INDEX(Produits!$F$5:$F$204,MATCH($B89,Produits!$A$5:$A$204,0))),""))</f>
        <v/>
      </c>
      <c r="G89" s="21" t="str">
        <f aca="false">IF(OR($F89="",$E89=""),"",$E89*$F89)</f>
        <v/>
      </c>
      <c r="H89" s="21" t="str">
        <f aca="false">IF(AND($D89="Sortie",$B89&lt;&gt;"",$E89&lt;&gt;""),IFERROR($E89*INDEX(Produits!$E$5:$E$204,MATCH($B89,Produits!$A$5:$A$204,0)),""),"")</f>
        <v/>
      </c>
      <c r="I89" s="23"/>
    </row>
    <row r="90" customFormat="false" ht="15" hidden="false" customHeight="false" outlineLevel="0" collapsed="false">
      <c r="A90" s="27"/>
      <c r="B90" s="23"/>
      <c r="C90" s="26" t="str">
        <f aca="false">IF($B90="","",IFERROR(INDEX(Produits!$B$5:$B$204,MATCH($B90,Produits!$A$5:$A$204,0)),"Code inconnu"))</f>
        <v/>
      </c>
      <c r="D90" s="23"/>
      <c r="E90" s="24"/>
      <c r="F90" s="21" t="str">
        <f aca="false">IF(OR($B90="",$D90=""),"",IFERROR(IF($D90="Entrée",INDEX(Produits!$E$5:$E$204,MATCH($B90,Produits!$A$5:$A$204,0)),INDEX(Produits!$F$5:$F$204,MATCH($B90,Produits!$A$5:$A$204,0))),""))</f>
        <v/>
      </c>
      <c r="G90" s="21" t="str">
        <f aca="false">IF(OR($F90="",$E90=""),"",$E90*$F90)</f>
        <v/>
      </c>
      <c r="H90" s="21" t="str">
        <f aca="false">IF(AND($D90="Sortie",$B90&lt;&gt;"",$E90&lt;&gt;""),IFERROR($E90*INDEX(Produits!$E$5:$E$204,MATCH($B90,Produits!$A$5:$A$204,0)),""),"")</f>
        <v/>
      </c>
      <c r="I90" s="23"/>
    </row>
    <row r="91" customFormat="false" ht="15" hidden="false" customHeight="false" outlineLevel="0" collapsed="false">
      <c r="A91" s="27"/>
      <c r="B91" s="23"/>
      <c r="C91" s="26" t="str">
        <f aca="false">IF($B91="","",IFERROR(INDEX(Produits!$B$5:$B$204,MATCH($B91,Produits!$A$5:$A$204,0)),"Code inconnu"))</f>
        <v/>
      </c>
      <c r="D91" s="23"/>
      <c r="E91" s="24"/>
      <c r="F91" s="21" t="str">
        <f aca="false">IF(OR($B91="",$D91=""),"",IFERROR(IF($D91="Entrée",INDEX(Produits!$E$5:$E$204,MATCH($B91,Produits!$A$5:$A$204,0)),INDEX(Produits!$F$5:$F$204,MATCH($B91,Produits!$A$5:$A$204,0))),""))</f>
        <v/>
      </c>
      <c r="G91" s="21" t="str">
        <f aca="false">IF(OR($F91="",$E91=""),"",$E91*$F91)</f>
        <v/>
      </c>
      <c r="H91" s="21" t="str">
        <f aca="false">IF(AND($D91="Sortie",$B91&lt;&gt;"",$E91&lt;&gt;""),IFERROR($E91*INDEX(Produits!$E$5:$E$204,MATCH($B91,Produits!$A$5:$A$204,0)),""),"")</f>
        <v/>
      </c>
      <c r="I91" s="23"/>
    </row>
    <row r="92" customFormat="false" ht="15" hidden="false" customHeight="false" outlineLevel="0" collapsed="false">
      <c r="A92" s="27"/>
      <c r="B92" s="23"/>
      <c r="C92" s="26" t="str">
        <f aca="false">IF($B92="","",IFERROR(INDEX(Produits!$B$5:$B$204,MATCH($B92,Produits!$A$5:$A$204,0)),"Code inconnu"))</f>
        <v/>
      </c>
      <c r="D92" s="23"/>
      <c r="E92" s="24"/>
      <c r="F92" s="21" t="str">
        <f aca="false">IF(OR($B92="",$D92=""),"",IFERROR(IF($D92="Entrée",INDEX(Produits!$E$5:$E$204,MATCH($B92,Produits!$A$5:$A$204,0)),INDEX(Produits!$F$5:$F$204,MATCH($B92,Produits!$A$5:$A$204,0))),""))</f>
        <v/>
      </c>
      <c r="G92" s="21" t="str">
        <f aca="false">IF(OR($F92="",$E92=""),"",$E92*$F92)</f>
        <v/>
      </c>
      <c r="H92" s="21" t="str">
        <f aca="false">IF(AND($D92="Sortie",$B92&lt;&gt;"",$E92&lt;&gt;""),IFERROR($E92*INDEX(Produits!$E$5:$E$204,MATCH($B92,Produits!$A$5:$A$204,0)),""),"")</f>
        <v/>
      </c>
      <c r="I92" s="23"/>
    </row>
    <row r="93" customFormat="false" ht="15" hidden="false" customHeight="false" outlineLevel="0" collapsed="false">
      <c r="A93" s="27"/>
      <c r="B93" s="23"/>
      <c r="C93" s="26" t="str">
        <f aca="false">IF($B93="","",IFERROR(INDEX(Produits!$B$5:$B$204,MATCH($B93,Produits!$A$5:$A$204,0)),"Code inconnu"))</f>
        <v/>
      </c>
      <c r="D93" s="23"/>
      <c r="E93" s="24"/>
      <c r="F93" s="21" t="str">
        <f aca="false">IF(OR($B93="",$D93=""),"",IFERROR(IF($D93="Entrée",INDEX(Produits!$E$5:$E$204,MATCH($B93,Produits!$A$5:$A$204,0)),INDEX(Produits!$F$5:$F$204,MATCH($B93,Produits!$A$5:$A$204,0))),""))</f>
        <v/>
      </c>
      <c r="G93" s="21" t="str">
        <f aca="false">IF(OR($F93="",$E93=""),"",$E93*$F93)</f>
        <v/>
      </c>
      <c r="H93" s="21" t="str">
        <f aca="false">IF(AND($D93="Sortie",$B93&lt;&gt;"",$E93&lt;&gt;""),IFERROR($E93*INDEX(Produits!$E$5:$E$204,MATCH($B93,Produits!$A$5:$A$204,0)),""),"")</f>
        <v/>
      </c>
      <c r="I93" s="23"/>
    </row>
    <row r="94" customFormat="false" ht="15" hidden="false" customHeight="false" outlineLevel="0" collapsed="false">
      <c r="A94" s="27"/>
      <c r="B94" s="23"/>
      <c r="C94" s="26" t="str">
        <f aca="false">IF($B94="","",IFERROR(INDEX(Produits!$B$5:$B$204,MATCH($B94,Produits!$A$5:$A$204,0)),"Code inconnu"))</f>
        <v/>
      </c>
      <c r="D94" s="23"/>
      <c r="E94" s="24"/>
      <c r="F94" s="21" t="str">
        <f aca="false">IF(OR($B94="",$D94=""),"",IFERROR(IF($D94="Entrée",INDEX(Produits!$E$5:$E$204,MATCH($B94,Produits!$A$5:$A$204,0)),INDEX(Produits!$F$5:$F$204,MATCH($B94,Produits!$A$5:$A$204,0))),""))</f>
        <v/>
      </c>
      <c r="G94" s="21" t="str">
        <f aca="false">IF(OR($F94="",$E94=""),"",$E94*$F94)</f>
        <v/>
      </c>
      <c r="H94" s="21" t="str">
        <f aca="false">IF(AND($D94="Sortie",$B94&lt;&gt;"",$E94&lt;&gt;""),IFERROR($E94*INDEX(Produits!$E$5:$E$204,MATCH($B94,Produits!$A$5:$A$204,0)),""),"")</f>
        <v/>
      </c>
      <c r="I94" s="23"/>
    </row>
    <row r="95" customFormat="false" ht="15" hidden="false" customHeight="false" outlineLevel="0" collapsed="false">
      <c r="A95" s="27"/>
      <c r="B95" s="23"/>
      <c r="C95" s="26" t="str">
        <f aca="false">IF($B95="","",IFERROR(INDEX(Produits!$B$5:$B$204,MATCH($B95,Produits!$A$5:$A$204,0)),"Code inconnu"))</f>
        <v/>
      </c>
      <c r="D95" s="23"/>
      <c r="E95" s="24"/>
      <c r="F95" s="21" t="str">
        <f aca="false">IF(OR($B95="",$D95=""),"",IFERROR(IF($D95="Entrée",INDEX(Produits!$E$5:$E$204,MATCH($B95,Produits!$A$5:$A$204,0)),INDEX(Produits!$F$5:$F$204,MATCH($B95,Produits!$A$5:$A$204,0))),""))</f>
        <v/>
      </c>
      <c r="G95" s="21" t="str">
        <f aca="false">IF(OR($F95="",$E95=""),"",$E95*$F95)</f>
        <v/>
      </c>
      <c r="H95" s="21" t="str">
        <f aca="false">IF(AND($D95="Sortie",$B95&lt;&gt;"",$E95&lt;&gt;""),IFERROR($E95*INDEX(Produits!$E$5:$E$204,MATCH($B95,Produits!$A$5:$A$204,0)),""),"")</f>
        <v/>
      </c>
      <c r="I95" s="23"/>
    </row>
    <row r="96" customFormat="false" ht="15" hidden="false" customHeight="false" outlineLevel="0" collapsed="false">
      <c r="A96" s="27"/>
      <c r="B96" s="23"/>
      <c r="C96" s="26" t="str">
        <f aca="false">IF($B96="","",IFERROR(INDEX(Produits!$B$5:$B$204,MATCH($B96,Produits!$A$5:$A$204,0)),"Code inconnu"))</f>
        <v/>
      </c>
      <c r="D96" s="23"/>
      <c r="E96" s="24"/>
      <c r="F96" s="21" t="str">
        <f aca="false">IF(OR($B96="",$D96=""),"",IFERROR(IF($D96="Entrée",INDEX(Produits!$E$5:$E$204,MATCH($B96,Produits!$A$5:$A$204,0)),INDEX(Produits!$F$5:$F$204,MATCH($B96,Produits!$A$5:$A$204,0))),""))</f>
        <v/>
      </c>
      <c r="G96" s="21" t="str">
        <f aca="false">IF(OR($F96="",$E96=""),"",$E96*$F96)</f>
        <v/>
      </c>
      <c r="H96" s="21" t="str">
        <f aca="false">IF(AND($D96="Sortie",$B96&lt;&gt;"",$E96&lt;&gt;""),IFERROR($E96*INDEX(Produits!$E$5:$E$204,MATCH($B96,Produits!$A$5:$A$204,0)),""),"")</f>
        <v/>
      </c>
      <c r="I96" s="23"/>
    </row>
    <row r="97" customFormat="false" ht="15" hidden="false" customHeight="false" outlineLevel="0" collapsed="false">
      <c r="A97" s="27"/>
      <c r="B97" s="23"/>
      <c r="C97" s="26" t="str">
        <f aca="false">IF($B97="","",IFERROR(INDEX(Produits!$B$5:$B$204,MATCH($B97,Produits!$A$5:$A$204,0)),"Code inconnu"))</f>
        <v/>
      </c>
      <c r="D97" s="23"/>
      <c r="E97" s="24"/>
      <c r="F97" s="21" t="str">
        <f aca="false">IF(OR($B97="",$D97=""),"",IFERROR(IF($D97="Entrée",INDEX(Produits!$E$5:$E$204,MATCH($B97,Produits!$A$5:$A$204,0)),INDEX(Produits!$F$5:$F$204,MATCH($B97,Produits!$A$5:$A$204,0))),""))</f>
        <v/>
      </c>
      <c r="G97" s="21" t="str">
        <f aca="false">IF(OR($F97="",$E97=""),"",$E97*$F97)</f>
        <v/>
      </c>
      <c r="H97" s="21" t="str">
        <f aca="false">IF(AND($D97="Sortie",$B97&lt;&gt;"",$E97&lt;&gt;""),IFERROR($E97*INDEX(Produits!$E$5:$E$204,MATCH($B97,Produits!$A$5:$A$204,0)),""),"")</f>
        <v/>
      </c>
      <c r="I97" s="23"/>
    </row>
    <row r="98" customFormat="false" ht="15" hidden="false" customHeight="false" outlineLevel="0" collapsed="false">
      <c r="A98" s="27"/>
      <c r="B98" s="23"/>
      <c r="C98" s="26" t="str">
        <f aca="false">IF($B98="","",IFERROR(INDEX(Produits!$B$5:$B$204,MATCH($B98,Produits!$A$5:$A$204,0)),"Code inconnu"))</f>
        <v/>
      </c>
      <c r="D98" s="23"/>
      <c r="E98" s="24"/>
      <c r="F98" s="21" t="str">
        <f aca="false">IF(OR($B98="",$D98=""),"",IFERROR(IF($D98="Entrée",INDEX(Produits!$E$5:$E$204,MATCH($B98,Produits!$A$5:$A$204,0)),INDEX(Produits!$F$5:$F$204,MATCH($B98,Produits!$A$5:$A$204,0))),""))</f>
        <v/>
      </c>
      <c r="G98" s="21" t="str">
        <f aca="false">IF(OR($F98="",$E98=""),"",$E98*$F98)</f>
        <v/>
      </c>
      <c r="H98" s="21" t="str">
        <f aca="false">IF(AND($D98="Sortie",$B98&lt;&gt;"",$E98&lt;&gt;""),IFERROR($E98*INDEX(Produits!$E$5:$E$204,MATCH($B98,Produits!$A$5:$A$204,0)),""),"")</f>
        <v/>
      </c>
      <c r="I98" s="23"/>
    </row>
    <row r="99" customFormat="false" ht="15" hidden="false" customHeight="false" outlineLevel="0" collapsed="false">
      <c r="A99" s="27"/>
      <c r="B99" s="23"/>
      <c r="C99" s="26" t="str">
        <f aca="false">IF($B99="","",IFERROR(INDEX(Produits!$B$5:$B$204,MATCH($B99,Produits!$A$5:$A$204,0)),"Code inconnu"))</f>
        <v/>
      </c>
      <c r="D99" s="23"/>
      <c r="E99" s="24"/>
      <c r="F99" s="21" t="str">
        <f aca="false">IF(OR($B99="",$D99=""),"",IFERROR(IF($D99="Entrée",INDEX(Produits!$E$5:$E$204,MATCH($B99,Produits!$A$5:$A$204,0)),INDEX(Produits!$F$5:$F$204,MATCH($B99,Produits!$A$5:$A$204,0))),""))</f>
        <v/>
      </c>
      <c r="G99" s="21" t="str">
        <f aca="false">IF(OR($F99="",$E99=""),"",$E99*$F99)</f>
        <v/>
      </c>
      <c r="H99" s="21" t="str">
        <f aca="false">IF(AND($D99="Sortie",$B99&lt;&gt;"",$E99&lt;&gt;""),IFERROR($E99*INDEX(Produits!$E$5:$E$204,MATCH($B99,Produits!$A$5:$A$204,0)),""),"")</f>
        <v/>
      </c>
      <c r="I99" s="23"/>
    </row>
    <row r="100" customFormat="false" ht="15" hidden="false" customHeight="false" outlineLevel="0" collapsed="false">
      <c r="A100" s="27"/>
      <c r="B100" s="23"/>
      <c r="C100" s="26" t="str">
        <f aca="false">IF($B100="","",IFERROR(INDEX(Produits!$B$5:$B$204,MATCH($B100,Produits!$A$5:$A$204,0)),"Code inconnu"))</f>
        <v/>
      </c>
      <c r="D100" s="23"/>
      <c r="E100" s="24"/>
      <c r="F100" s="21" t="str">
        <f aca="false">IF(OR($B100="",$D100=""),"",IFERROR(IF($D100="Entrée",INDEX(Produits!$E$5:$E$204,MATCH($B100,Produits!$A$5:$A$204,0)),INDEX(Produits!$F$5:$F$204,MATCH($B100,Produits!$A$5:$A$204,0))),""))</f>
        <v/>
      </c>
      <c r="G100" s="21" t="str">
        <f aca="false">IF(OR($F100="",$E100=""),"",$E100*$F100)</f>
        <v/>
      </c>
      <c r="H100" s="21" t="str">
        <f aca="false">IF(AND($D100="Sortie",$B100&lt;&gt;"",$E100&lt;&gt;""),IFERROR($E100*INDEX(Produits!$E$5:$E$204,MATCH($B100,Produits!$A$5:$A$204,0)),""),"")</f>
        <v/>
      </c>
      <c r="I100" s="23"/>
    </row>
    <row r="101" customFormat="false" ht="15" hidden="false" customHeight="false" outlineLevel="0" collapsed="false">
      <c r="A101" s="27"/>
      <c r="B101" s="23"/>
      <c r="C101" s="26" t="str">
        <f aca="false">IF($B101="","",IFERROR(INDEX(Produits!$B$5:$B$204,MATCH($B101,Produits!$A$5:$A$204,0)),"Code inconnu"))</f>
        <v/>
      </c>
      <c r="D101" s="23"/>
      <c r="E101" s="24"/>
      <c r="F101" s="21" t="str">
        <f aca="false">IF(OR($B101="",$D101=""),"",IFERROR(IF($D101="Entrée",INDEX(Produits!$E$5:$E$204,MATCH($B101,Produits!$A$5:$A$204,0)),INDEX(Produits!$F$5:$F$204,MATCH($B101,Produits!$A$5:$A$204,0))),""))</f>
        <v/>
      </c>
      <c r="G101" s="21" t="str">
        <f aca="false">IF(OR($F101="",$E101=""),"",$E101*$F101)</f>
        <v/>
      </c>
      <c r="H101" s="21" t="str">
        <f aca="false">IF(AND($D101="Sortie",$B101&lt;&gt;"",$E101&lt;&gt;""),IFERROR($E101*INDEX(Produits!$E$5:$E$204,MATCH($B101,Produits!$A$5:$A$204,0)),""),"")</f>
        <v/>
      </c>
      <c r="I101" s="23"/>
    </row>
    <row r="102" customFormat="false" ht="15" hidden="false" customHeight="false" outlineLevel="0" collapsed="false">
      <c r="A102" s="27"/>
      <c r="B102" s="23"/>
      <c r="C102" s="26" t="str">
        <f aca="false">IF($B102="","",IFERROR(INDEX(Produits!$B$5:$B$204,MATCH($B102,Produits!$A$5:$A$204,0)),"Code inconnu"))</f>
        <v/>
      </c>
      <c r="D102" s="23"/>
      <c r="E102" s="24"/>
      <c r="F102" s="21" t="str">
        <f aca="false">IF(OR($B102="",$D102=""),"",IFERROR(IF($D102="Entrée",INDEX(Produits!$E$5:$E$204,MATCH($B102,Produits!$A$5:$A$204,0)),INDEX(Produits!$F$5:$F$204,MATCH($B102,Produits!$A$5:$A$204,0))),""))</f>
        <v/>
      </c>
      <c r="G102" s="21" t="str">
        <f aca="false">IF(OR($F102="",$E102=""),"",$E102*$F102)</f>
        <v/>
      </c>
      <c r="H102" s="21" t="str">
        <f aca="false">IF(AND($D102="Sortie",$B102&lt;&gt;"",$E102&lt;&gt;""),IFERROR($E102*INDEX(Produits!$E$5:$E$204,MATCH($B102,Produits!$A$5:$A$204,0)),""),"")</f>
        <v/>
      </c>
      <c r="I102" s="23"/>
    </row>
    <row r="103" customFormat="false" ht="15" hidden="false" customHeight="false" outlineLevel="0" collapsed="false">
      <c r="A103" s="27"/>
      <c r="B103" s="23"/>
      <c r="C103" s="26" t="str">
        <f aca="false">IF($B103="","",IFERROR(INDEX(Produits!$B$5:$B$204,MATCH($B103,Produits!$A$5:$A$204,0)),"Code inconnu"))</f>
        <v/>
      </c>
      <c r="D103" s="23"/>
      <c r="E103" s="24"/>
      <c r="F103" s="21" t="str">
        <f aca="false">IF(OR($B103="",$D103=""),"",IFERROR(IF($D103="Entrée",INDEX(Produits!$E$5:$E$204,MATCH($B103,Produits!$A$5:$A$204,0)),INDEX(Produits!$F$5:$F$204,MATCH($B103,Produits!$A$5:$A$204,0))),""))</f>
        <v/>
      </c>
      <c r="G103" s="21" t="str">
        <f aca="false">IF(OR($F103="",$E103=""),"",$E103*$F103)</f>
        <v/>
      </c>
      <c r="H103" s="21" t="str">
        <f aca="false">IF(AND($D103="Sortie",$B103&lt;&gt;"",$E103&lt;&gt;""),IFERROR($E103*INDEX(Produits!$E$5:$E$204,MATCH($B103,Produits!$A$5:$A$204,0)),""),"")</f>
        <v/>
      </c>
      <c r="I103" s="23"/>
    </row>
    <row r="104" customFormat="false" ht="15" hidden="false" customHeight="false" outlineLevel="0" collapsed="false">
      <c r="A104" s="27"/>
      <c r="B104" s="23"/>
      <c r="C104" s="26" t="str">
        <f aca="false">IF($B104="","",IFERROR(INDEX(Produits!$B$5:$B$204,MATCH($B104,Produits!$A$5:$A$204,0)),"Code inconnu"))</f>
        <v/>
      </c>
      <c r="D104" s="23"/>
      <c r="E104" s="24"/>
      <c r="F104" s="21" t="str">
        <f aca="false">IF(OR($B104="",$D104=""),"",IFERROR(IF($D104="Entrée",INDEX(Produits!$E$5:$E$204,MATCH($B104,Produits!$A$5:$A$204,0)),INDEX(Produits!$F$5:$F$204,MATCH($B104,Produits!$A$5:$A$204,0))),""))</f>
        <v/>
      </c>
      <c r="G104" s="21" t="str">
        <f aca="false">IF(OR($F104="",$E104=""),"",$E104*$F104)</f>
        <v/>
      </c>
      <c r="H104" s="21" t="str">
        <f aca="false">IF(AND($D104="Sortie",$B104&lt;&gt;"",$E104&lt;&gt;""),IFERROR($E104*INDEX(Produits!$E$5:$E$204,MATCH($B104,Produits!$A$5:$A$204,0)),""),"")</f>
        <v/>
      </c>
      <c r="I104" s="23"/>
    </row>
    <row r="105" customFormat="false" ht="15" hidden="false" customHeight="false" outlineLevel="0" collapsed="false">
      <c r="A105" s="27"/>
      <c r="B105" s="23"/>
      <c r="C105" s="26" t="str">
        <f aca="false">IF($B105="","",IFERROR(INDEX(Produits!$B$5:$B$204,MATCH($B105,Produits!$A$5:$A$204,0)),"Code inconnu"))</f>
        <v/>
      </c>
      <c r="D105" s="23"/>
      <c r="E105" s="24"/>
      <c r="F105" s="21" t="str">
        <f aca="false">IF(OR($B105="",$D105=""),"",IFERROR(IF($D105="Entrée",INDEX(Produits!$E$5:$E$204,MATCH($B105,Produits!$A$5:$A$204,0)),INDEX(Produits!$F$5:$F$204,MATCH($B105,Produits!$A$5:$A$204,0))),""))</f>
        <v/>
      </c>
      <c r="G105" s="21" t="str">
        <f aca="false">IF(OR($F105="",$E105=""),"",$E105*$F105)</f>
        <v/>
      </c>
      <c r="H105" s="21" t="str">
        <f aca="false">IF(AND($D105="Sortie",$B105&lt;&gt;"",$E105&lt;&gt;""),IFERROR($E105*INDEX(Produits!$E$5:$E$204,MATCH($B105,Produits!$A$5:$A$204,0)),""),"")</f>
        <v/>
      </c>
      <c r="I105" s="23"/>
    </row>
    <row r="106" customFormat="false" ht="15" hidden="false" customHeight="false" outlineLevel="0" collapsed="false">
      <c r="A106" s="27"/>
      <c r="B106" s="23"/>
      <c r="C106" s="26" t="str">
        <f aca="false">IF($B106="","",IFERROR(INDEX(Produits!$B$5:$B$204,MATCH($B106,Produits!$A$5:$A$204,0)),"Code inconnu"))</f>
        <v/>
      </c>
      <c r="D106" s="23"/>
      <c r="E106" s="24"/>
      <c r="F106" s="21" t="str">
        <f aca="false">IF(OR($B106="",$D106=""),"",IFERROR(IF($D106="Entrée",INDEX(Produits!$E$5:$E$204,MATCH($B106,Produits!$A$5:$A$204,0)),INDEX(Produits!$F$5:$F$204,MATCH($B106,Produits!$A$5:$A$204,0))),""))</f>
        <v/>
      </c>
      <c r="G106" s="21" t="str">
        <f aca="false">IF(OR($F106="",$E106=""),"",$E106*$F106)</f>
        <v/>
      </c>
      <c r="H106" s="21" t="str">
        <f aca="false">IF(AND($D106="Sortie",$B106&lt;&gt;"",$E106&lt;&gt;""),IFERROR($E106*INDEX(Produits!$E$5:$E$204,MATCH($B106,Produits!$A$5:$A$204,0)),""),"")</f>
        <v/>
      </c>
      <c r="I106" s="23"/>
    </row>
    <row r="107" customFormat="false" ht="15" hidden="false" customHeight="false" outlineLevel="0" collapsed="false">
      <c r="A107" s="27"/>
      <c r="B107" s="23"/>
      <c r="C107" s="26" t="str">
        <f aca="false">IF($B107="","",IFERROR(INDEX(Produits!$B$5:$B$204,MATCH($B107,Produits!$A$5:$A$204,0)),"Code inconnu"))</f>
        <v/>
      </c>
      <c r="D107" s="23"/>
      <c r="E107" s="24"/>
      <c r="F107" s="21" t="str">
        <f aca="false">IF(OR($B107="",$D107=""),"",IFERROR(IF($D107="Entrée",INDEX(Produits!$E$5:$E$204,MATCH($B107,Produits!$A$5:$A$204,0)),INDEX(Produits!$F$5:$F$204,MATCH($B107,Produits!$A$5:$A$204,0))),""))</f>
        <v/>
      </c>
      <c r="G107" s="21" t="str">
        <f aca="false">IF(OR($F107="",$E107=""),"",$E107*$F107)</f>
        <v/>
      </c>
      <c r="H107" s="21" t="str">
        <f aca="false">IF(AND($D107="Sortie",$B107&lt;&gt;"",$E107&lt;&gt;""),IFERROR($E107*INDEX(Produits!$E$5:$E$204,MATCH($B107,Produits!$A$5:$A$204,0)),""),"")</f>
        <v/>
      </c>
      <c r="I107" s="23"/>
    </row>
    <row r="108" customFormat="false" ht="15" hidden="false" customHeight="false" outlineLevel="0" collapsed="false">
      <c r="A108" s="27"/>
      <c r="B108" s="23"/>
      <c r="C108" s="26" t="str">
        <f aca="false">IF($B108="","",IFERROR(INDEX(Produits!$B$5:$B$204,MATCH($B108,Produits!$A$5:$A$204,0)),"Code inconnu"))</f>
        <v/>
      </c>
      <c r="D108" s="23"/>
      <c r="E108" s="24"/>
      <c r="F108" s="21" t="str">
        <f aca="false">IF(OR($B108="",$D108=""),"",IFERROR(IF($D108="Entrée",INDEX(Produits!$E$5:$E$204,MATCH($B108,Produits!$A$5:$A$204,0)),INDEX(Produits!$F$5:$F$204,MATCH($B108,Produits!$A$5:$A$204,0))),""))</f>
        <v/>
      </c>
      <c r="G108" s="21" t="str">
        <f aca="false">IF(OR($F108="",$E108=""),"",$E108*$F108)</f>
        <v/>
      </c>
      <c r="H108" s="21" t="str">
        <f aca="false">IF(AND($D108="Sortie",$B108&lt;&gt;"",$E108&lt;&gt;""),IFERROR($E108*INDEX(Produits!$E$5:$E$204,MATCH($B108,Produits!$A$5:$A$204,0)),""),"")</f>
        <v/>
      </c>
      <c r="I108" s="23"/>
    </row>
    <row r="109" customFormat="false" ht="15" hidden="false" customHeight="false" outlineLevel="0" collapsed="false">
      <c r="A109" s="27"/>
      <c r="B109" s="23"/>
      <c r="C109" s="26" t="str">
        <f aca="false">IF($B109="","",IFERROR(INDEX(Produits!$B$5:$B$204,MATCH($B109,Produits!$A$5:$A$204,0)),"Code inconnu"))</f>
        <v/>
      </c>
      <c r="D109" s="23"/>
      <c r="E109" s="24"/>
      <c r="F109" s="21" t="str">
        <f aca="false">IF(OR($B109="",$D109=""),"",IFERROR(IF($D109="Entrée",INDEX(Produits!$E$5:$E$204,MATCH($B109,Produits!$A$5:$A$204,0)),INDEX(Produits!$F$5:$F$204,MATCH($B109,Produits!$A$5:$A$204,0))),""))</f>
        <v/>
      </c>
      <c r="G109" s="21" t="str">
        <f aca="false">IF(OR($F109="",$E109=""),"",$E109*$F109)</f>
        <v/>
      </c>
      <c r="H109" s="21" t="str">
        <f aca="false">IF(AND($D109="Sortie",$B109&lt;&gt;"",$E109&lt;&gt;""),IFERROR($E109*INDEX(Produits!$E$5:$E$204,MATCH($B109,Produits!$A$5:$A$204,0)),""),"")</f>
        <v/>
      </c>
      <c r="I109" s="23"/>
    </row>
    <row r="110" customFormat="false" ht="15" hidden="false" customHeight="false" outlineLevel="0" collapsed="false">
      <c r="A110" s="27"/>
      <c r="B110" s="23"/>
      <c r="C110" s="26" t="str">
        <f aca="false">IF($B110="","",IFERROR(INDEX(Produits!$B$5:$B$204,MATCH($B110,Produits!$A$5:$A$204,0)),"Code inconnu"))</f>
        <v/>
      </c>
      <c r="D110" s="23"/>
      <c r="E110" s="24"/>
      <c r="F110" s="21" t="str">
        <f aca="false">IF(OR($B110="",$D110=""),"",IFERROR(IF($D110="Entrée",INDEX(Produits!$E$5:$E$204,MATCH($B110,Produits!$A$5:$A$204,0)),INDEX(Produits!$F$5:$F$204,MATCH($B110,Produits!$A$5:$A$204,0))),""))</f>
        <v/>
      </c>
      <c r="G110" s="21" t="str">
        <f aca="false">IF(OR($F110="",$E110=""),"",$E110*$F110)</f>
        <v/>
      </c>
      <c r="H110" s="21" t="str">
        <f aca="false">IF(AND($D110="Sortie",$B110&lt;&gt;"",$E110&lt;&gt;""),IFERROR($E110*INDEX(Produits!$E$5:$E$204,MATCH($B110,Produits!$A$5:$A$204,0)),""),"")</f>
        <v/>
      </c>
      <c r="I110" s="23"/>
    </row>
    <row r="111" customFormat="false" ht="15" hidden="false" customHeight="false" outlineLevel="0" collapsed="false">
      <c r="A111" s="27"/>
      <c r="B111" s="23"/>
      <c r="C111" s="26" t="str">
        <f aca="false">IF($B111="","",IFERROR(INDEX(Produits!$B$5:$B$204,MATCH($B111,Produits!$A$5:$A$204,0)),"Code inconnu"))</f>
        <v/>
      </c>
      <c r="D111" s="23"/>
      <c r="E111" s="24"/>
      <c r="F111" s="21" t="str">
        <f aca="false">IF(OR($B111="",$D111=""),"",IFERROR(IF($D111="Entrée",INDEX(Produits!$E$5:$E$204,MATCH($B111,Produits!$A$5:$A$204,0)),INDEX(Produits!$F$5:$F$204,MATCH($B111,Produits!$A$5:$A$204,0))),""))</f>
        <v/>
      </c>
      <c r="G111" s="21" t="str">
        <f aca="false">IF(OR($F111="",$E111=""),"",$E111*$F111)</f>
        <v/>
      </c>
      <c r="H111" s="21" t="str">
        <f aca="false">IF(AND($D111="Sortie",$B111&lt;&gt;"",$E111&lt;&gt;""),IFERROR($E111*INDEX(Produits!$E$5:$E$204,MATCH($B111,Produits!$A$5:$A$204,0)),""),"")</f>
        <v/>
      </c>
      <c r="I111" s="23"/>
    </row>
    <row r="112" customFormat="false" ht="15" hidden="false" customHeight="false" outlineLevel="0" collapsed="false">
      <c r="A112" s="27"/>
      <c r="B112" s="23"/>
      <c r="C112" s="26" t="str">
        <f aca="false">IF($B112="","",IFERROR(INDEX(Produits!$B$5:$B$204,MATCH($B112,Produits!$A$5:$A$204,0)),"Code inconnu"))</f>
        <v/>
      </c>
      <c r="D112" s="23"/>
      <c r="E112" s="24"/>
      <c r="F112" s="21" t="str">
        <f aca="false">IF(OR($B112="",$D112=""),"",IFERROR(IF($D112="Entrée",INDEX(Produits!$E$5:$E$204,MATCH($B112,Produits!$A$5:$A$204,0)),INDEX(Produits!$F$5:$F$204,MATCH($B112,Produits!$A$5:$A$204,0))),""))</f>
        <v/>
      </c>
      <c r="G112" s="21" t="str">
        <f aca="false">IF(OR($F112="",$E112=""),"",$E112*$F112)</f>
        <v/>
      </c>
      <c r="H112" s="21" t="str">
        <f aca="false">IF(AND($D112="Sortie",$B112&lt;&gt;"",$E112&lt;&gt;""),IFERROR($E112*INDEX(Produits!$E$5:$E$204,MATCH($B112,Produits!$A$5:$A$204,0)),""),"")</f>
        <v/>
      </c>
      <c r="I112" s="23"/>
    </row>
    <row r="113" customFormat="false" ht="15" hidden="false" customHeight="false" outlineLevel="0" collapsed="false">
      <c r="A113" s="27"/>
      <c r="B113" s="23"/>
      <c r="C113" s="26" t="str">
        <f aca="false">IF($B113="","",IFERROR(INDEX(Produits!$B$5:$B$204,MATCH($B113,Produits!$A$5:$A$204,0)),"Code inconnu"))</f>
        <v/>
      </c>
      <c r="D113" s="23"/>
      <c r="E113" s="24"/>
      <c r="F113" s="21" t="str">
        <f aca="false">IF(OR($B113="",$D113=""),"",IFERROR(IF($D113="Entrée",INDEX(Produits!$E$5:$E$204,MATCH($B113,Produits!$A$5:$A$204,0)),INDEX(Produits!$F$5:$F$204,MATCH($B113,Produits!$A$5:$A$204,0))),""))</f>
        <v/>
      </c>
      <c r="G113" s="21" t="str">
        <f aca="false">IF(OR($F113="",$E113=""),"",$E113*$F113)</f>
        <v/>
      </c>
      <c r="H113" s="21" t="str">
        <f aca="false">IF(AND($D113="Sortie",$B113&lt;&gt;"",$E113&lt;&gt;""),IFERROR($E113*INDEX(Produits!$E$5:$E$204,MATCH($B113,Produits!$A$5:$A$204,0)),""),"")</f>
        <v/>
      </c>
      <c r="I113" s="23"/>
    </row>
    <row r="114" customFormat="false" ht="15" hidden="false" customHeight="false" outlineLevel="0" collapsed="false">
      <c r="A114" s="27"/>
      <c r="B114" s="23"/>
      <c r="C114" s="26" t="str">
        <f aca="false">IF($B114="","",IFERROR(INDEX(Produits!$B$5:$B$204,MATCH($B114,Produits!$A$5:$A$204,0)),"Code inconnu"))</f>
        <v/>
      </c>
      <c r="D114" s="23"/>
      <c r="E114" s="24"/>
      <c r="F114" s="21" t="str">
        <f aca="false">IF(OR($B114="",$D114=""),"",IFERROR(IF($D114="Entrée",INDEX(Produits!$E$5:$E$204,MATCH($B114,Produits!$A$5:$A$204,0)),INDEX(Produits!$F$5:$F$204,MATCH($B114,Produits!$A$5:$A$204,0))),""))</f>
        <v/>
      </c>
      <c r="G114" s="21" t="str">
        <f aca="false">IF(OR($F114="",$E114=""),"",$E114*$F114)</f>
        <v/>
      </c>
      <c r="H114" s="21" t="str">
        <f aca="false">IF(AND($D114="Sortie",$B114&lt;&gt;"",$E114&lt;&gt;""),IFERROR($E114*INDEX(Produits!$E$5:$E$204,MATCH($B114,Produits!$A$5:$A$204,0)),""),"")</f>
        <v/>
      </c>
      <c r="I114" s="23"/>
    </row>
    <row r="115" customFormat="false" ht="15" hidden="false" customHeight="false" outlineLevel="0" collapsed="false">
      <c r="A115" s="27"/>
      <c r="B115" s="23"/>
      <c r="C115" s="26" t="str">
        <f aca="false">IF($B115="","",IFERROR(INDEX(Produits!$B$5:$B$204,MATCH($B115,Produits!$A$5:$A$204,0)),"Code inconnu"))</f>
        <v/>
      </c>
      <c r="D115" s="23"/>
      <c r="E115" s="24"/>
      <c r="F115" s="21" t="str">
        <f aca="false">IF(OR($B115="",$D115=""),"",IFERROR(IF($D115="Entrée",INDEX(Produits!$E$5:$E$204,MATCH($B115,Produits!$A$5:$A$204,0)),INDEX(Produits!$F$5:$F$204,MATCH($B115,Produits!$A$5:$A$204,0))),""))</f>
        <v/>
      </c>
      <c r="G115" s="21" t="str">
        <f aca="false">IF(OR($F115="",$E115=""),"",$E115*$F115)</f>
        <v/>
      </c>
      <c r="H115" s="21" t="str">
        <f aca="false">IF(AND($D115="Sortie",$B115&lt;&gt;"",$E115&lt;&gt;""),IFERROR($E115*INDEX(Produits!$E$5:$E$204,MATCH($B115,Produits!$A$5:$A$204,0)),""),"")</f>
        <v/>
      </c>
      <c r="I115" s="23"/>
    </row>
    <row r="116" customFormat="false" ht="15" hidden="false" customHeight="false" outlineLevel="0" collapsed="false">
      <c r="A116" s="27"/>
      <c r="B116" s="23"/>
      <c r="C116" s="26" t="str">
        <f aca="false">IF($B116="","",IFERROR(INDEX(Produits!$B$5:$B$204,MATCH($B116,Produits!$A$5:$A$204,0)),"Code inconnu"))</f>
        <v/>
      </c>
      <c r="D116" s="23"/>
      <c r="E116" s="24"/>
      <c r="F116" s="21" t="str">
        <f aca="false">IF(OR($B116="",$D116=""),"",IFERROR(IF($D116="Entrée",INDEX(Produits!$E$5:$E$204,MATCH($B116,Produits!$A$5:$A$204,0)),INDEX(Produits!$F$5:$F$204,MATCH($B116,Produits!$A$5:$A$204,0))),""))</f>
        <v/>
      </c>
      <c r="G116" s="21" t="str">
        <f aca="false">IF(OR($F116="",$E116=""),"",$E116*$F116)</f>
        <v/>
      </c>
      <c r="H116" s="21" t="str">
        <f aca="false">IF(AND($D116="Sortie",$B116&lt;&gt;"",$E116&lt;&gt;""),IFERROR($E116*INDEX(Produits!$E$5:$E$204,MATCH($B116,Produits!$A$5:$A$204,0)),""),"")</f>
        <v/>
      </c>
      <c r="I116" s="23"/>
    </row>
    <row r="117" customFormat="false" ht="15" hidden="false" customHeight="false" outlineLevel="0" collapsed="false">
      <c r="A117" s="27"/>
      <c r="B117" s="23"/>
      <c r="C117" s="26" t="str">
        <f aca="false">IF($B117="","",IFERROR(INDEX(Produits!$B$5:$B$204,MATCH($B117,Produits!$A$5:$A$204,0)),"Code inconnu"))</f>
        <v/>
      </c>
      <c r="D117" s="23"/>
      <c r="E117" s="24"/>
      <c r="F117" s="21" t="str">
        <f aca="false">IF(OR($B117="",$D117=""),"",IFERROR(IF($D117="Entrée",INDEX(Produits!$E$5:$E$204,MATCH($B117,Produits!$A$5:$A$204,0)),INDEX(Produits!$F$5:$F$204,MATCH($B117,Produits!$A$5:$A$204,0))),""))</f>
        <v/>
      </c>
      <c r="G117" s="21" t="str">
        <f aca="false">IF(OR($F117="",$E117=""),"",$E117*$F117)</f>
        <v/>
      </c>
      <c r="H117" s="21" t="str">
        <f aca="false">IF(AND($D117="Sortie",$B117&lt;&gt;"",$E117&lt;&gt;""),IFERROR($E117*INDEX(Produits!$E$5:$E$204,MATCH($B117,Produits!$A$5:$A$204,0)),""),"")</f>
        <v/>
      </c>
      <c r="I117" s="23"/>
    </row>
    <row r="118" customFormat="false" ht="15" hidden="false" customHeight="false" outlineLevel="0" collapsed="false">
      <c r="A118" s="27"/>
      <c r="B118" s="23"/>
      <c r="C118" s="26" t="str">
        <f aca="false">IF($B118="","",IFERROR(INDEX(Produits!$B$5:$B$204,MATCH($B118,Produits!$A$5:$A$204,0)),"Code inconnu"))</f>
        <v/>
      </c>
      <c r="D118" s="23"/>
      <c r="E118" s="24"/>
      <c r="F118" s="21" t="str">
        <f aca="false">IF(OR($B118="",$D118=""),"",IFERROR(IF($D118="Entrée",INDEX(Produits!$E$5:$E$204,MATCH($B118,Produits!$A$5:$A$204,0)),INDEX(Produits!$F$5:$F$204,MATCH($B118,Produits!$A$5:$A$204,0))),""))</f>
        <v/>
      </c>
      <c r="G118" s="21" t="str">
        <f aca="false">IF(OR($F118="",$E118=""),"",$E118*$F118)</f>
        <v/>
      </c>
      <c r="H118" s="21" t="str">
        <f aca="false">IF(AND($D118="Sortie",$B118&lt;&gt;"",$E118&lt;&gt;""),IFERROR($E118*INDEX(Produits!$E$5:$E$204,MATCH($B118,Produits!$A$5:$A$204,0)),""),"")</f>
        <v/>
      </c>
      <c r="I118" s="23"/>
    </row>
    <row r="119" customFormat="false" ht="15" hidden="false" customHeight="false" outlineLevel="0" collapsed="false">
      <c r="A119" s="27"/>
      <c r="B119" s="23"/>
      <c r="C119" s="26" t="str">
        <f aca="false">IF($B119="","",IFERROR(INDEX(Produits!$B$5:$B$204,MATCH($B119,Produits!$A$5:$A$204,0)),"Code inconnu"))</f>
        <v/>
      </c>
      <c r="D119" s="23"/>
      <c r="E119" s="24"/>
      <c r="F119" s="21" t="str">
        <f aca="false">IF(OR($B119="",$D119=""),"",IFERROR(IF($D119="Entrée",INDEX(Produits!$E$5:$E$204,MATCH($B119,Produits!$A$5:$A$204,0)),INDEX(Produits!$F$5:$F$204,MATCH($B119,Produits!$A$5:$A$204,0))),""))</f>
        <v/>
      </c>
      <c r="G119" s="21" t="str">
        <f aca="false">IF(OR($F119="",$E119=""),"",$E119*$F119)</f>
        <v/>
      </c>
      <c r="H119" s="21" t="str">
        <f aca="false">IF(AND($D119="Sortie",$B119&lt;&gt;"",$E119&lt;&gt;""),IFERROR($E119*INDEX(Produits!$E$5:$E$204,MATCH($B119,Produits!$A$5:$A$204,0)),""),"")</f>
        <v/>
      </c>
      <c r="I119" s="23"/>
    </row>
    <row r="120" customFormat="false" ht="15" hidden="false" customHeight="false" outlineLevel="0" collapsed="false">
      <c r="A120" s="27"/>
      <c r="B120" s="23"/>
      <c r="C120" s="26" t="str">
        <f aca="false">IF($B120="","",IFERROR(INDEX(Produits!$B$5:$B$204,MATCH($B120,Produits!$A$5:$A$204,0)),"Code inconnu"))</f>
        <v/>
      </c>
      <c r="D120" s="23"/>
      <c r="E120" s="24"/>
      <c r="F120" s="21" t="str">
        <f aca="false">IF(OR($B120="",$D120=""),"",IFERROR(IF($D120="Entrée",INDEX(Produits!$E$5:$E$204,MATCH($B120,Produits!$A$5:$A$204,0)),INDEX(Produits!$F$5:$F$204,MATCH($B120,Produits!$A$5:$A$204,0))),""))</f>
        <v/>
      </c>
      <c r="G120" s="21" t="str">
        <f aca="false">IF(OR($F120="",$E120=""),"",$E120*$F120)</f>
        <v/>
      </c>
      <c r="H120" s="21" t="str">
        <f aca="false">IF(AND($D120="Sortie",$B120&lt;&gt;"",$E120&lt;&gt;""),IFERROR($E120*INDEX(Produits!$E$5:$E$204,MATCH($B120,Produits!$A$5:$A$204,0)),""),"")</f>
        <v/>
      </c>
      <c r="I120" s="23"/>
    </row>
    <row r="121" customFormat="false" ht="15" hidden="false" customHeight="false" outlineLevel="0" collapsed="false">
      <c r="A121" s="27"/>
      <c r="B121" s="23"/>
      <c r="C121" s="26" t="str">
        <f aca="false">IF($B121="","",IFERROR(INDEX(Produits!$B$5:$B$204,MATCH($B121,Produits!$A$5:$A$204,0)),"Code inconnu"))</f>
        <v/>
      </c>
      <c r="D121" s="23"/>
      <c r="E121" s="24"/>
      <c r="F121" s="21" t="str">
        <f aca="false">IF(OR($B121="",$D121=""),"",IFERROR(IF($D121="Entrée",INDEX(Produits!$E$5:$E$204,MATCH($B121,Produits!$A$5:$A$204,0)),INDEX(Produits!$F$5:$F$204,MATCH($B121,Produits!$A$5:$A$204,0))),""))</f>
        <v/>
      </c>
      <c r="G121" s="21" t="str">
        <f aca="false">IF(OR($F121="",$E121=""),"",$E121*$F121)</f>
        <v/>
      </c>
      <c r="H121" s="21" t="str">
        <f aca="false">IF(AND($D121="Sortie",$B121&lt;&gt;"",$E121&lt;&gt;""),IFERROR($E121*INDEX(Produits!$E$5:$E$204,MATCH($B121,Produits!$A$5:$A$204,0)),""),"")</f>
        <v/>
      </c>
      <c r="I121" s="23"/>
    </row>
    <row r="122" customFormat="false" ht="15" hidden="false" customHeight="false" outlineLevel="0" collapsed="false">
      <c r="A122" s="27"/>
      <c r="B122" s="23"/>
      <c r="C122" s="26" t="str">
        <f aca="false">IF($B122="","",IFERROR(INDEX(Produits!$B$5:$B$204,MATCH($B122,Produits!$A$5:$A$204,0)),"Code inconnu"))</f>
        <v/>
      </c>
      <c r="D122" s="23"/>
      <c r="E122" s="24"/>
      <c r="F122" s="21" t="str">
        <f aca="false">IF(OR($B122="",$D122=""),"",IFERROR(IF($D122="Entrée",INDEX(Produits!$E$5:$E$204,MATCH($B122,Produits!$A$5:$A$204,0)),INDEX(Produits!$F$5:$F$204,MATCH($B122,Produits!$A$5:$A$204,0))),""))</f>
        <v/>
      </c>
      <c r="G122" s="21" t="str">
        <f aca="false">IF(OR($F122="",$E122=""),"",$E122*$F122)</f>
        <v/>
      </c>
      <c r="H122" s="21" t="str">
        <f aca="false">IF(AND($D122="Sortie",$B122&lt;&gt;"",$E122&lt;&gt;""),IFERROR($E122*INDEX(Produits!$E$5:$E$204,MATCH($B122,Produits!$A$5:$A$204,0)),""),"")</f>
        <v/>
      </c>
      <c r="I122" s="23"/>
    </row>
    <row r="123" customFormat="false" ht="15" hidden="false" customHeight="false" outlineLevel="0" collapsed="false">
      <c r="A123" s="27"/>
      <c r="B123" s="23"/>
      <c r="C123" s="26" t="str">
        <f aca="false">IF($B123="","",IFERROR(INDEX(Produits!$B$5:$B$204,MATCH($B123,Produits!$A$5:$A$204,0)),"Code inconnu"))</f>
        <v/>
      </c>
      <c r="D123" s="23"/>
      <c r="E123" s="24"/>
      <c r="F123" s="21" t="str">
        <f aca="false">IF(OR($B123="",$D123=""),"",IFERROR(IF($D123="Entrée",INDEX(Produits!$E$5:$E$204,MATCH($B123,Produits!$A$5:$A$204,0)),INDEX(Produits!$F$5:$F$204,MATCH($B123,Produits!$A$5:$A$204,0))),""))</f>
        <v/>
      </c>
      <c r="G123" s="21" t="str">
        <f aca="false">IF(OR($F123="",$E123=""),"",$E123*$F123)</f>
        <v/>
      </c>
      <c r="H123" s="21" t="str">
        <f aca="false">IF(AND($D123="Sortie",$B123&lt;&gt;"",$E123&lt;&gt;""),IFERROR($E123*INDEX(Produits!$E$5:$E$204,MATCH($B123,Produits!$A$5:$A$204,0)),""),"")</f>
        <v/>
      </c>
      <c r="I123" s="23"/>
    </row>
    <row r="124" customFormat="false" ht="15" hidden="false" customHeight="false" outlineLevel="0" collapsed="false">
      <c r="A124" s="27"/>
      <c r="B124" s="23"/>
      <c r="C124" s="26" t="str">
        <f aca="false">IF($B124="","",IFERROR(INDEX(Produits!$B$5:$B$204,MATCH($B124,Produits!$A$5:$A$204,0)),"Code inconnu"))</f>
        <v/>
      </c>
      <c r="D124" s="23"/>
      <c r="E124" s="24"/>
      <c r="F124" s="21" t="str">
        <f aca="false">IF(OR($B124="",$D124=""),"",IFERROR(IF($D124="Entrée",INDEX(Produits!$E$5:$E$204,MATCH($B124,Produits!$A$5:$A$204,0)),INDEX(Produits!$F$5:$F$204,MATCH($B124,Produits!$A$5:$A$204,0))),""))</f>
        <v/>
      </c>
      <c r="G124" s="21" t="str">
        <f aca="false">IF(OR($F124="",$E124=""),"",$E124*$F124)</f>
        <v/>
      </c>
      <c r="H124" s="21" t="str">
        <f aca="false">IF(AND($D124="Sortie",$B124&lt;&gt;"",$E124&lt;&gt;""),IFERROR($E124*INDEX(Produits!$E$5:$E$204,MATCH($B124,Produits!$A$5:$A$204,0)),""),"")</f>
        <v/>
      </c>
      <c r="I124" s="23"/>
    </row>
    <row r="125" customFormat="false" ht="15" hidden="false" customHeight="false" outlineLevel="0" collapsed="false">
      <c r="A125" s="27"/>
      <c r="B125" s="23"/>
      <c r="C125" s="26" t="str">
        <f aca="false">IF($B125="","",IFERROR(INDEX(Produits!$B$5:$B$204,MATCH($B125,Produits!$A$5:$A$204,0)),"Code inconnu"))</f>
        <v/>
      </c>
      <c r="D125" s="23"/>
      <c r="E125" s="24"/>
      <c r="F125" s="21" t="str">
        <f aca="false">IF(OR($B125="",$D125=""),"",IFERROR(IF($D125="Entrée",INDEX(Produits!$E$5:$E$204,MATCH($B125,Produits!$A$5:$A$204,0)),INDEX(Produits!$F$5:$F$204,MATCH($B125,Produits!$A$5:$A$204,0))),""))</f>
        <v/>
      </c>
      <c r="G125" s="21" t="str">
        <f aca="false">IF(OR($F125="",$E125=""),"",$E125*$F125)</f>
        <v/>
      </c>
      <c r="H125" s="21" t="str">
        <f aca="false">IF(AND($D125="Sortie",$B125&lt;&gt;"",$E125&lt;&gt;""),IFERROR($E125*INDEX(Produits!$E$5:$E$204,MATCH($B125,Produits!$A$5:$A$204,0)),""),"")</f>
        <v/>
      </c>
      <c r="I125" s="23"/>
    </row>
    <row r="126" customFormat="false" ht="15" hidden="false" customHeight="false" outlineLevel="0" collapsed="false">
      <c r="A126" s="27"/>
      <c r="B126" s="23"/>
      <c r="C126" s="26" t="str">
        <f aca="false">IF($B126="","",IFERROR(INDEX(Produits!$B$5:$B$204,MATCH($B126,Produits!$A$5:$A$204,0)),"Code inconnu"))</f>
        <v/>
      </c>
      <c r="D126" s="23"/>
      <c r="E126" s="24"/>
      <c r="F126" s="21" t="str">
        <f aca="false">IF(OR($B126="",$D126=""),"",IFERROR(IF($D126="Entrée",INDEX(Produits!$E$5:$E$204,MATCH($B126,Produits!$A$5:$A$204,0)),INDEX(Produits!$F$5:$F$204,MATCH($B126,Produits!$A$5:$A$204,0))),""))</f>
        <v/>
      </c>
      <c r="G126" s="21" t="str">
        <f aca="false">IF(OR($F126="",$E126=""),"",$E126*$F126)</f>
        <v/>
      </c>
      <c r="H126" s="21" t="str">
        <f aca="false">IF(AND($D126="Sortie",$B126&lt;&gt;"",$E126&lt;&gt;""),IFERROR($E126*INDEX(Produits!$E$5:$E$204,MATCH($B126,Produits!$A$5:$A$204,0)),""),"")</f>
        <v/>
      </c>
      <c r="I126" s="23"/>
    </row>
    <row r="127" customFormat="false" ht="15" hidden="false" customHeight="false" outlineLevel="0" collapsed="false">
      <c r="A127" s="27"/>
      <c r="B127" s="23"/>
      <c r="C127" s="26" t="str">
        <f aca="false">IF($B127="","",IFERROR(INDEX(Produits!$B$5:$B$204,MATCH($B127,Produits!$A$5:$A$204,0)),"Code inconnu"))</f>
        <v/>
      </c>
      <c r="D127" s="23"/>
      <c r="E127" s="24"/>
      <c r="F127" s="21" t="str">
        <f aca="false">IF(OR($B127="",$D127=""),"",IFERROR(IF($D127="Entrée",INDEX(Produits!$E$5:$E$204,MATCH($B127,Produits!$A$5:$A$204,0)),INDEX(Produits!$F$5:$F$204,MATCH($B127,Produits!$A$5:$A$204,0))),""))</f>
        <v/>
      </c>
      <c r="G127" s="21" t="str">
        <f aca="false">IF(OR($F127="",$E127=""),"",$E127*$F127)</f>
        <v/>
      </c>
      <c r="H127" s="21" t="str">
        <f aca="false">IF(AND($D127="Sortie",$B127&lt;&gt;"",$E127&lt;&gt;""),IFERROR($E127*INDEX(Produits!$E$5:$E$204,MATCH($B127,Produits!$A$5:$A$204,0)),""),"")</f>
        <v/>
      </c>
      <c r="I127" s="23"/>
    </row>
    <row r="128" customFormat="false" ht="15" hidden="false" customHeight="false" outlineLevel="0" collapsed="false">
      <c r="A128" s="27"/>
      <c r="B128" s="23"/>
      <c r="C128" s="26" t="str">
        <f aca="false">IF($B128="","",IFERROR(INDEX(Produits!$B$5:$B$204,MATCH($B128,Produits!$A$5:$A$204,0)),"Code inconnu"))</f>
        <v/>
      </c>
      <c r="D128" s="23"/>
      <c r="E128" s="24"/>
      <c r="F128" s="21" t="str">
        <f aca="false">IF(OR($B128="",$D128=""),"",IFERROR(IF($D128="Entrée",INDEX(Produits!$E$5:$E$204,MATCH($B128,Produits!$A$5:$A$204,0)),INDEX(Produits!$F$5:$F$204,MATCH($B128,Produits!$A$5:$A$204,0))),""))</f>
        <v/>
      </c>
      <c r="G128" s="21" t="str">
        <f aca="false">IF(OR($F128="",$E128=""),"",$E128*$F128)</f>
        <v/>
      </c>
      <c r="H128" s="21" t="str">
        <f aca="false">IF(AND($D128="Sortie",$B128&lt;&gt;"",$E128&lt;&gt;""),IFERROR($E128*INDEX(Produits!$E$5:$E$204,MATCH($B128,Produits!$A$5:$A$204,0)),""),"")</f>
        <v/>
      </c>
      <c r="I128" s="23"/>
    </row>
    <row r="129" customFormat="false" ht="15" hidden="false" customHeight="false" outlineLevel="0" collapsed="false">
      <c r="A129" s="27"/>
      <c r="B129" s="23"/>
      <c r="C129" s="26" t="str">
        <f aca="false">IF($B129="","",IFERROR(INDEX(Produits!$B$5:$B$204,MATCH($B129,Produits!$A$5:$A$204,0)),"Code inconnu"))</f>
        <v/>
      </c>
      <c r="D129" s="23"/>
      <c r="E129" s="24"/>
      <c r="F129" s="21" t="str">
        <f aca="false">IF(OR($B129="",$D129=""),"",IFERROR(IF($D129="Entrée",INDEX(Produits!$E$5:$E$204,MATCH($B129,Produits!$A$5:$A$204,0)),INDEX(Produits!$F$5:$F$204,MATCH($B129,Produits!$A$5:$A$204,0))),""))</f>
        <v/>
      </c>
      <c r="G129" s="21" t="str">
        <f aca="false">IF(OR($F129="",$E129=""),"",$E129*$F129)</f>
        <v/>
      </c>
      <c r="H129" s="21" t="str">
        <f aca="false">IF(AND($D129="Sortie",$B129&lt;&gt;"",$E129&lt;&gt;""),IFERROR($E129*INDEX(Produits!$E$5:$E$204,MATCH($B129,Produits!$A$5:$A$204,0)),""),"")</f>
        <v/>
      </c>
      <c r="I129" s="23"/>
    </row>
    <row r="130" customFormat="false" ht="15" hidden="false" customHeight="false" outlineLevel="0" collapsed="false">
      <c r="A130" s="27"/>
      <c r="B130" s="23"/>
      <c r="C130" s="26" t="str">
        <f aca="false">IF($B130="","",IFERROR(INDEX(Produits!$B$5:$B$204,MATCH($B130,Produits!$A$5:$A$204,0)),"Code inconnu"))</f>
        <v/>
      </c>
      <c r="D130" s="23"/>
      <c r="E130" s="24"/>
      <c r="F130" s="21" t="str">
        <f aca="false">IF(OR($B130="",$D130=""),"",IFERROR(IF($D130="Entrée",INDEX(Produits!$E$5:$E$204,MATCH($B130,Produits!$A$5:$A$204,0)),INDEX(Produits!$F$5:$F$204,MATCH($B130,Produits!$A$5:$A$204,0))),""))</f>
        <v/>
      </c>
      <c r="G130" s="21" t="str">
        <f aca="false">IF(OR($F130="",$E130=""),"",$E130*$F130)</f>
        <v/>
      </c>
      <c r="H130" s="21" t="str">
        <f aca="false">IF(AND($D130="Sortie",$B130&lt;&gt;"",$E130&lt;&gt;""),IFERROR($E130*INDEX(Produits!$E$5:$E$204,MATCH($B130,Produits!$A$5:$A$204,0)),""),"")</f>
        <v/>
      </c>
      <c r="I130" s="23"/>
    </row>
    <row r="131" customFormat="false" ht="15" hidden="false" customHeight="false" outlineLevel="0" collapsed="false">
      <c r="A131" s="27"/>
      <c r="B131" s="23"/>
      <c r="C131" s="26" t="str">
        <f aca="false">IF($B131="","",IFERROR(INDEX(Produits!$B$5:$B$204,MATCH($B131,Produits!$A$5:$A$204,0)),"Code inconnu"))</f>
        <v/>
      </c>
      <c r="D131" s="23"/>
      <c r="E131" s="24"/>
      <c r="F131" s="21" t="str">
        <f aca="false">IF(OR($B131="",$D131=""),"",IFERROR(IF($D131="Entrée",INDEX(Produits!$E$5:$E$204,MATCH($B131,Produits!$A$5:$A$204,0)),INDEX(Produits!$F$5:$F$204,MATCH($B131,Produits!$A$5:$A$204,0))),""))</f>
        <v/>
      </c>
      <c r="G131" s="21" t="str">
        <f aca="false">IF(OR($F131="",$E131=""),"",$E131*$F131)</f>
        <v/>
      </c>
      <c r="H131" s="21" t="str">
        <f aca="false">IF(AND($D131="Sortie",$B131&lt;&gt;"",$E131&lt;&gt;""),IFERROR($E131*INDEX(Produits!$E$5:$E$204,MATCH($B131,Produits!$A$5:$A$204,0)),""),"")</f>
        <v/>
      </c>
      <c r="I131" s="23"/>
    </row>
    <row r="132" customFormat="false" ht="15" hidden="false" customHeight="false" outlineLevel="0" collapsed="false">
      <c r="A132" s="27"/>
      <c r="B132" s="23"/>
      <c r="C132" s="26" t="str">
        <f aca="false">IF($B132="","",IFERROR(INDEX(Produits!$B$5:$B$204,MATCH($B132,Produits!$A$5:$A$204,0)),"Code inconnu"))</f>
        <v/>
      </c>
      <c r="D132" s="23"/>
      <c r="E132" s="24"/>
      <c r="F132" s="21" t="str">
        <f aca="false">IF(OR($B132="",$D132=""),"",IFERROR(IF($D132="Entrée",INDEX(Produits!$E$5:$E$204,MATCH($B132,Produits!$A$5:$A$204,0)),INDEX(Produits!$F$5:$F$204,MATCH($B132,Produits!$A$5:$A$204,0))),""))</f>
        <v/>
      </c>
      <c r="G132" s="21" t="str">
        <f aca="false">IF(OR($F132="",$E132=""),"",$E132*$F132)</f>
        <v/>
      </c>
      <c r="H132" s="21" t="str">
        <f aca="false">IF(AND($D132="Sortie",$B132&lt;&gt;"",$E132&lt;&gt;""),IFERROR($E132*INDEX(Produits!$E$5:$E$204,MATCH($B132,Produits!$A$5:$A$204,0)),""),"")</f>
        <v/>
      </c>
      <c r="I132" s="23"/>
    </row>
    <row r="133" customFormat="false" ht="15" hidden="false" customHeight="false" outlineLevel="0" collapsed="false">
      <c r="A133" s="27"/>
      <c r="B133" s="23"/>
      <c r="C133" s="26" t="str">
        <f aca="false">IF($B133="","",IFERROR(INDEX(Produits!$B$5:$B$204,MATCH($B133,Produits!$A$5:$A$204,0)),"Code inconnu"))</f>
        <v/>
      </c>
      <c r="D133" s="23"/>
      <c r="E133" s="24"/>
      <c r="F133" s="21" t="str">
        <f aca="false">IF(OR($B133="",$D133=""),"",IFERROR(IF($D133="Entrée",INDEX(Produits!$E$5:$E$204,MATCH($B133,Produits!$A$5:$A$204,0)),INDEX(Produits!$F$5:$F$204,MATCH($B133,Produits!$A$5:$A$204,0))),""))</f>
        <v/>
      </c>
      <c r="G133" s="21" t="str">
        <f aca="false">IF(OR($F133="",$E133=""),"",$E133*$F133)</f>
        <v/>
      </c>
      <c r="H133" s="21" t="str">
        <f aca="false">IF(AND($D133="Sortie",$B133&lt;&gt;"",$E133&lt;&gt;""),IFERROR($E133*INDEX(Produits!$E$5:$E$204,MATCH($B133,Produits!$A$5:$A$204,0)),""),"")</f>
        <v/>
      </c>
      <c r="I133" s="23"/>
    </row>
    <row r="134" customFormat="false" ht="15" hidden="false" customHeight="false" outlineLevel="0" collapsed="false">
      <c r="A134" s="27"/>
      <c r="B134" s="23"/>
      <c r="C134" s="26" t="str">
        <f aca="false">IF($B134="","",IFERROR(INDEX(Produits!$B$5:$B$204,MATCH($B134,Produits!$A$5:$A$204,0)),"Code inconnu"))</f>
        <v/>
      </c>
      <c r="D134" s="23"/>
      <c r="E134" s="24"/>
      <c r="F134" s="21" t="str">
        <f aca="false">IF(OR($B134="",$D134=""),"",IFERROR(IF($D134="Entrée",INDEX(Produits!$E$5:$E$204,MATCH($B134,Produits!$A$5:$A$204,0)),INDEX(Produits!$F$5:$F$204,MATCH($B134,Produits!$A$5:$A$204,0))),""))</f>
        <v/>
      </c>
      <c r="G134" s="21" t="str">
        <f aca="false">IF(OR($F134="",$E134=""),"",$E134*$F134)</f>
        <v/>
      </c>
      <c r="H134" s="21" t="str">
        <f aca="false">IF(AND($D134="Sortie",$B134&lt;&gt;"",$E134&lt;&gt;""),IFERROR($E134*INDEX(Produits!$E$5:$E$204,MATCH($B134,Produits!$A$5:$A$204,0)),""),"")</f>
        <v/>
      </c>
      <c r="I134" s="23"/>
    </row>
    <row r="135" customFormat="false" ht="15" hidden="false" customHeight="false" outlineLevel="0" collapsed="false">
      <c r="A135" s="27"/>
      <c r="B135" s="23"/>
      <c r="C135" s="26" t="str">
        <f aca="false">IF($B135="","",IFERROR(INDEX(Produits!$B$5:$B$204,MATCH($B135,Produits!$A$5:$A$204,0)),"Code inconnu"))</f>
        <v/>
      </c>
      <c r="D135" s="23"/>
      <c r="E135" s="24"/>
      <c r="F135" s="21" t="str">
        <f aca="false">IF(OR($B135="",$D135=""),"",IFERROR(IF($D135="Entrée",INDEX(Produits!$E$5:$E$204,MATCH($B135,Produits!$A$5:$A$204,0)),INDEX(Produits!$F$5:$F$204,MATCH($B135,Produits!$A$5:$A$204,0))),""))</f>
        <v/>
      </c>
      <c r="G135" s="21" t="str">
        <f aca="false">IF(OR($F135="",$E135=""),"",$E135*$F135)</f>
        <v/>
      </c>
      <c r="H135" s="21" t="str">
        <f aca="false">IF(AND($D135="Sortie",$B135&lt;&gt;"",$E135&lt;&gt;""),IFERROR($E135*INDEX(Produits!$E$5:$E$204,MATCH($B135,Produits!$A$5:$A$204,0)),""),"")</f>
        <v/>
      </c>
      <c r="I135" s="23"/>
    </row>
    <row r="136" customFormat="false" ht="15" hidden="false" customHeight="false" outlineLevel="0" collapsed="false">
      <c r="A136" s="27"/>
      <c r="B136" s="23"/>
      <c r="C136" s="26" t="str">
        <f aca="false">IF($B136="","",IFERROR(INDEX(Produits!$B$5:$B$204,MATCH($B136,Produits!$A$5:$A$204,0)),"Code inconnu"))</f>
        <v/>
      </c>
      <c r="D136" s="23"/>
      <c r="E136" s="24"/>
      <c r="F136" s="21" t="str">
        <f aca="false">IF(OR($B136="",$D136=""),"",IFERROR(IF($D136="Entrée",INDEX(Produits!$E$5:$E$204,MATCH($B136,Produits!$A$5:$A$204,0)),INDEX(Produits!$F$5:$F$204,MATCH($B136,Produits!$A$5:$A$204,0))),""))</f>
        <v/>
      </c>
      <c r="G136" s="21" t="str">
        <f aca="false">IF(OR($F136="",$E136=""),"",$E136*$F136)</f>
        <v/>
      </c>
      <c r="H136" s="21" t="str">
        <f aca="false">IF(AND($D136="Sortie",$B136&lt;&gt;"",$E136&lt;&gt;""),IFERROR($E136*INDEX(Produits!$E$5:$E$204,MATCH($B136,Produits!$A$5:$A$204,0)),""),"")</f>
        <v/>
      </c>
      <c r="I136" s="23"/>
    </row>
    <row r="137" customFormat="false" ht="15" hidden="false" customHeight="false" outlineLevel="0" collapsed="false">
      <c r="A137" s="27"/>
      <c r="B137" s="23"/>
      <c r="C137" s="26" t="str">
        <f aca="false">IF($B137="","",IFERROR(INDEX(Produits!$B$5:$B$204,MATCH($B137,Produits!$A$5:$A$204,0)),"Code inconnu"))</f>
        <v/>
      </c>
      <c r="D137" s="23"/>
      <c r="E137" s="24"/>
      <c r="F137" s="21" t="str">
        <f aca="false">IF(OR($B137="",$D137=""),"",IFERROR(IF($D137="Entrée",INDEX(Produits!$E$5:$E$204,MATCH($B137,Produits!$A$5:$A$204,0)),INDEX(Produits!$F$5:$F$204,MATCH($B137,Produits!$A$5:$A$204,0))),""))</f>
        <v/>
      </c>
      <c r="G137" s="21" t="str">
        <f aca="false">IF(OR($F137="",$E137=""),"",$E137*$F137)</f>
        <v/>
      </c>
      <c r="H137" s="21" t="str">
        <f aca="false">IF(AND($D137="Sortie",$B137&lt;&gt;"",$E137&lt;&gt;""),IFERROR($E137*INDEX(Produits!$E$5:$E$204,MATCH($B137,Produits!$A$5:$A$204,0)),""),"")</f>
        <v/>
      </c>
      <c r="I137" s="23"/>
    </row>
    <row r="138" customFormat="false" ht="15" hidden="false" customHeight="false" outlineLevel="0" collapsed="false">
      <c r="A138" s="27"/>
      <c r="B138" s="23"/>
      <c r="C138" s="26" t="str">
        <f aca="false">IF($B138="","",IFERROR(INDEX(Produits!$B$5:$B$204,MATCH($B138,Produits!$A$5:$A$204,0)),"Code inconnu"))</f>
        <v/>
      </c>
      <c r="D138" s="23"/>
      <c r="E138" s="24"/>
      <c r="F138" s="21" t="str">
        <f aca="false">IF(OR($B138="",$D138=""),"",IFERROR(IF($D138="Entrée",INDEX(Produits!$E$5:$E$204,MATCH($B138,Produits!$A$5:$A$204,0)),INDEX(Produits!$F$5:$F$204,MATCH($B138,Produits!$A$5:$A$204,0))),""))</f>
        <v/>
      </c>
      <c r="G138" s="21" t="str">
        <f aca="false">IF(OR($F138="",$E138=""),"",$E138*$F138)</f>
        <v/>
      </c>
      <c r="H138" s="21" t="str">
        <f aca="false">IF(AND($D138="Sortie",$B138&lt;&gt;"",$E138&lt;&gt;""),IFERROR($E138*INDEX(Produits!$E$5:$E$204,MATCH($B138,Produits!$A$5:$A$204,0)),""),"")</f>
        <v/>
      </c>
      <c r="I138" s="23"/>
    </row>
    <row r="139" customFormat="false" ht="15" hidden="false" customHeight="false" outlineLevel="0" collapsed="false">
      <c r="A139" s="27"/>
      <c r="B139" s="23"/>
      <c r="C139" s="26" t="str">
        <f aca="false">IF($B139="","",IFERROR(INDEX(Produits!$B$5:$B$204,MATCH($B139,Produits!$A$5:$A$204,0)),"Code inconnu"))</f>
        <v/>
      </c>
      <c r="D139" s="23"/>
      <c r="E139" s="24"/>
      <c r="F139" s="21" t="str">
        <f aca="false">IF(OR($B139="",$D139=""),"",IFERROR(IF($D139="Entrée",INDEX(Produits!$E$5:$E$204,MATCH($B139,Produits!$A$5:$A$204,0)),INDEX(Produits!$F$5:$F$204,MATCH($B139,Produits!$A$5:$A$204,0))),""))</f>
        <v/>
      </c>
      <c r="G139" s="21" t="str">
        <f aca="false">IF(OR($F139="",$E139=""),"",$E139*$F139)</f>
        <v/>
      </c>
      <c r="H139" s="21" t="str">
        <f aca="false">IF(AND($D139="Sortie",$B139&lt;&gt;"",$E139&lt;&gt;""),IFERROR($E139*INDEX(Produits!$E$5:$E$204,MATCH($B139,Produits!$A$5:$A$204,0)),""),"")</f>
        <v/>
      </c>
      <c r="I139" s="23"/>
    </row>
    <row r="140" customFormat="false" ht="15" hidden="false" customHeight="false" outlineLevel="0" collapsed="false">
      <c r="A140" s="27"/>
      <c r="B140" s="23"/>
      <c r="C140" s="26" t="str">
        <f aca="false">IF($B140="","",IFERROR(INDEX(Produits!$B$5:$B$204,MATCH($B140,Produits!$A$5:$A$204,0)),"Code inconnu"))</f>
        <v/>
      </c>
      <c r="D140" s="23"/>
      <c r="E140" s="24"/>
      <c r="F140" s="21" t="str">
        <f aca="false">IF(OR($B140="",$D140=""),"",IFERROR(IF($D140="Entrée",INDEX(Produits!$E$5:$E$204,MATCH($B140,Produits!$A$5:$A$204,0)),INDEX(Produits!$F$5:$F$204,MATCH($B140,Produits!$A$5:$A$204,0))),""))</f>
        <v/>
      </c>
      <c r="G140" s="21" t="str">
        <f aca="false">IF(OR($F140="",$E140=""),"",$E140*$F140)</f>
        <v/>
      </c>
      <c r="H140" s="21" t="str">
        <f aca="false">IF(AND($D140="Sortie",$B140&lt;&gt;"",$E140&lt;&gt;""),IFERROR($E140*INDEX(Produits!$E$5:$E$204,MATCH($B140,Produits!$A$5:$A$204,0)),""),"")</f>
        <v/>
      </c>
      <c r="I140" s="23"/>
    </row>
    <row r="141" customFormat="false" ht="15" hidden="false" customHeight="false" outlineLevel="0" collapsed="false">
      <c r="A141" s="27"/>
      <c r="B141" s="23"/>
      <c r="C141" s="26" t="str">
        <f aca="false">IF($B141="","",IFERROR(INDEX(Produits!$B$5:$B$204,MATCH($B141,Produits!$A$5:$A$204,0)),"Code inconnu"))</f>
        <v/>
      </c>
      <c r="D141" s="23"/>
      <c r="E141" s="24"/>
      <c r="F141" s="21" t="str">
        <f aca="false">IF(OR($B141="",$D141=""),"",IFERROR(IF($D141="Entrée",INDEX(Produits!$E$5:$E$204,MATCH($B141,Produits!$A$5:$A$204,0)),INDEX(Produits!$F$5:$F$204,MATCH($B141,Produits!$A$5:$A$204,0))),""))</f>
        <v/>
      </c>
      <c r="G141" s="21" t="str">
        <f aca="false">IF(OR($F141="",$E141=""),"",$E141*$F141)</f>
        <v/>
      </c>
      <c r="H141" s="21" t="str">
        <f aca="false">IF(AND($D141="Sortie",$B141&lt;&gt;"",$E141&lt;&gt;""),IFERROR($E141*INDEX(Produits!$E$5:$E$204,MATCH($B141,Produits!$A$5:$A$204,0)),""),"")</f>
        <v/>
      </c>
      <c r="I141" s="23"/>
    </row>
    <row r="142" customFormat="false" ht="15" hidden="false" customHeight="false" outlineLevel="0" collapsed="false">
      <c r="A142" s="27"/>
      <c r="B142" s="23"/>
      <c r="C142" s="26" t="str">
        <f aca="false">IF($B142="","",IFERROR(INDEX(Produits!$B$5:$B$204,MATCH($B142,Produits!$A$5:$A$204,0)),"Code inconnu"))</f>
        <v/>
      </c>
      <c r="D142" s="23"/>
      <c r="E142" s="24"/>
      <c r="F142" s="21" t="str">
        <f aca="false">IF(OR($B142="",$D142=""),"",IFERROR(IF($D142="Entrée",INDEX(Produits!$E$5:$E$204,MATCH($B142,Produits!$A$5:$A$204,0)),INDEX(Produits!$F$5:$F$204,MATCH($B142,Produits!$A$5:$A$204,0))),""))</f>
        <v/>
      </c>
      <c r="G142" s="21" t="str">
        <f aca="false">IF(OR($F142="",$E142=""),"",$E142*$F142)</f>
        <v/>
      </c>
      <c r="H142" s="21" t="str">
        <f aca="false">IF(AND($D142="Sortie",$B142&lt;&gt;"",$E142&lt;&gt;""),IFERROR($E142*INDEX(Produits!$E$5:$E$204,MATCH($B142,Produits!$A$5:$A$204,0)),""),"")</f>
        <v/>
      </c>
      <c r="I142" s="23"/>
    </row>
    <row r="143" customFormat="false" ht="15" hidden="false" customHeight="false" outlineLevel="0" collapsed="false">
      <c r="A143" s="27"/>
      <c r="B143" s="23"/>
      <c r="C143" s="26" t="str">
        <f aca="false">IF($B143="","",IFERROR(INDEX(Produits!$B$5:$B$204,MATCH($B143,Produits!$A$5:$A$204,0)),"Code inconnu"))</f>
        <v/>
      </c>
      <c r="D143" s="23"/>
      <c r="E143" s="24"/>
      <c r="F143" s="21" t="str">
        <f aca="false">IF(OR($B143="",$D143=""),"",IFERROR(IF($D143="Entrée",INDEX(Produits!$E$5:$E$204,MATCH($B143,Produits!$A$5:$A$204,0)),INDEX(Produits!$F$5:$F$204,MATCH($B143,Produits!$A$5:$A$204,0))),""))</f>
        <v/>
      </c>
      <c r="G143" s="21" t="str">
        <f aca="false">IF(OR($F143="",$E143=""),"",$E143*$F143)</f>
        <v/>
      </c>
      <c r="H143" s="21" t="str">
        <f aca="false">IF(AND($D143="Sortie",$B143&lt;&gt;"",$E143&lt;&gt;""),IFERROR($E143*INDEX(Produits!$E$5:$E$204,MATCH($B143,Produits!$A$5:$A$204,0)),""),"")</f>
        <v/>
      </c>
      <c r="I143" s="23"/>
    </row>
    <row r="144" customFormat="false" ht="15" hidden="false" customHeight="false" outlineLevel="0" collapsed="false">
      <c r="A144" s="27"/>
      <c r="B144" s="23"/>
      <c r="C144" s="26" t="str">
        <f aca="false">IF($B144="","",IFERROR(INDEX(Produits!$B$5:$B$204,MATCH($B144,Produits!$A$5:$A$204,0)),"Code inconnu"))</f>
        <v/>
      </c>
      <c r="D144" s="23"/>
      <c r="E144" s="24"/>
      <c r="F144" s="21" t="str">
        <f aca="false">IF(OR($B144="",$D144=""),"",IFERROR(IF($D144="Entrée",INDEX(Produits!$E$5:$E$204,MATCH($B144,Produits!$A$5:$A$204,0)),INDEX(Produits!$F$5:$F$204,MATCH($B144,Produits!$A$5:$A$204,0))),""))</f>
        <v/>
      </c>
      <c r="G144" s="21" t="str">
        <f aca="false">IF(OR($F144="",$E144=""),"",$E144*$F144)</f>
        <v/>
      </c>
      <c r="H144" s="21" t="str">
        <f aca="false">IF(AND($D144="Sortie",$B144&lt;&gt;"",$E144&lt;&gt;""),IFERROR($E144*INDEX(Produits!$E$5:$E$204,MATCH($B144,Produits!$A$5:$A$204,0)),""),"")</f>
        <v/>
      </c>
      <c r="I144" s="23"/>
    </row>
    <row r="145" customFormat="false" ht="15" hidden="false" customHeight="false" outlineLevel="0" collapsed="false">
      <c r="A145" s="27"/>
      <c r="B145" s="23"/>
      <c r="C145" s="26" t="str">
        <f aca="false">IF($B145="","",IFERROR(INDEX(Produits!$B$5:$B$204,MATCH($B145,Produits!$A$5:$A$204,0)),"Code inconnu"))</f>
        <v/>
      </c>
      <c r="D145" s="23"/>
      <c r="E145" s="24"/>
      <c r="F145" s="21" t="str">
        <f aca="false">IF(OR($B145="",$D145=""),"",IFERROR(IF($D145="Entrée",INDEX(Produits!$E$5:$E$204,MATCH($B145,Produits!$A$5:$A$204,0)),INDEX(Produits!$F$5:$F$204,MATCH($B145,Produits!$A$5:$A$204,0))),""))</f>
        <v/>
      </c>
      <c r="G145" s="21" t="str">
        <f aca="false">IF(OR($F145="",$E145=""),"",$E145*$F145)</f>
        <v/>
      </c>
      <c r="H145" s="21" t="str">
        <f aca="false">IF(AND($D145="Sortie",$B145&lt;&gt;"",$E145&lt;&gt;""),IFERROR($E145*INDEX(Produits!$E$5:$E$204,MATCH($B145,Produits!$A$5:$A$204,0)),""),"")</f>
        <v/>
      </c>
      <c r="I145" s="23"/>
    </row>
    <row r="146" customFormat="false" ht="15" hidden="false" customHeight="false" outlineLevel="0" collapsed="false">
      <c r="A146" s="27"/>
      <c r="B146" s="23"/>
      <c r="C146" s="26" t="str">
        <f aca="false">IF($B146="","",IFERROR(INDEX(Produits!$B$5:$B$204,MATCH($B146,Produits!$A$5:$A$204,0)),"Code inconnu"))</f>
        <v/>
      </c>
      <c r="D146" s="23"/>
      <c r="E146" s="24"/>
      <c r="F146" s="21" t="str">
        <f aca="false">IF(OR($B146="",$D146=""),"",IFERROR(IF($D146="Entrée",INDEX(Produits!$E$5:$E$204,MATCH($B146,Produits!$A$5:$A$204,0)),INDEX(Produits!$F$5:$F$204,MATCH($B146,Produits!$A$5:$A$204,0))),""))</f>
        <v/>
      </c>
      <c r="G146" s="21" t="str">
        <f aca="false">IF(OR($F146="",$E146=""),"",$E146*$F146)</f>
        <v/>
      </c>
      <c r="H146" s="21" t="str">
        <f aca="false">IF(AND($D146="Sortie",$B146&lt;&gt;"",$E146&lt;&gt;""),IFERROR($E146*INDEX(Produits!$E$5:$E$204,MATCH($B146,Produits!$A$5:$A$204,0)),""),"")</f>
        <v/>
      </c>
      <c r="I146" s="23"/>
    </row>
    <row r="147" customFormat="false" ht="15" hidden="false" customHeight="false" outlineLevel="0" collapsed="false">
      <c r="A147" s="27"/>
      <c r="B147" s="23"/>
      <c r="C147" s="26" t="str">
        <f aca="false">IF($B147="","",IFERROR(INDEX(Produits!$B$5:$B$204,MATCH($B147,Produits!$A$5:$A$204,0)),"Code inconnu"))</f>
        <v/>
      </c>
      <c r="D147" s="23"/>
      <c r="E147" s="24"/>
      <c r="F147" s="21" t="str">
        <f aca="false">IF(OR($B147="",$D147=""),"",IFERROR(IF($D147="Entrée",INDEX(Produits!$E$5:$E$204,MATCH($B147,Produits!$A$5:$A$204,0)),INDEX(Produits!$F$5:$F$204,MATCH($B147,Produits!$A$5:$A$204,0))),""))</f>
        <v/>
      </c>
      <c r="G147" s="21" t="str">
        <f aca="false">IF(OR($F147="",$E147=""),"",$E147*$F147)</f>
        <v/>
      </c>
      <c r="H147" s="21" t="str">
        <f aca="false">IF(AND($D147="Sortie",$B147&lt;&gt;"",$E147&lt;&gt;""),IFERROR($E147*INDEX(Produits!$E$5:$E$204,MATCH($B147,Produits!$A$5:$A$204,0)),""),"")</f>
        <v/>
      </c>
      <c r="I147" s="23"/>
    </row>
    <row r="148" customFormat="false" ht="15" hidden="false" customHeight="false" outlineLevel="0" collapsed="false">
      <c r="A148" s="27"/>
      <c r="B148" s="23"/>
      <c r="C148" s="26" t="str">
        <f aca="false">IF($B148="","",IFERROR(INDEX(Produits!$B$5:$B$204,MATCH($B148,Produits!$A$5:$A$204,0)),"Code inconnu"))</f>
        <v/>
      </c>
      <c r="D148" s="23"/>
      <c r="E148" s="24"/>
      <c r="F148" s="21" t="str">
        <f aca="false">IF(OR($B148="",$D148=""),"",IFERROR(IF($D148="Entrée",INDEX(Produits!$E$5:$E$204,MATCH($B148,Produits!$A$5:$A$204,0)),INDEX(Produits!$F$5:$F$204,MATCH($B148,Produits!$A$5:$A$204,0))),""))</f>
        <v/>
      </c>
      <c r="G148" s="21" t="str">
        <f aca="false">IF(OR($F148="",$E148=""),"",$E148*$F148)</f>
        <v/>
      </c>
      <c r="H148" s="21" t="str">
        <f aca="false">IF(AND($D148="Sortie",$B148&lt;&gt;"",$E148&lt;&gt;""),IFERROR($E148*INDEX(Produits!$E$5:$E$204,MATCH($B148,Produits!$A$5:$A$204,0)),""),"")</f>
        <v/>
      </c>
      <c r="I148" s="23"/>
    </row>
    <row r="149" customFormat="false" ht="15" hidden="false" customHeight="false" outlineLevel="0" collapsed="false">
      <c r="A149" s="27"/>
      <c r="B149" s="23"/>
      <c r="C149" s="26" t="str">
        <f aca="false">IF($B149="","",IFERROR(INDEX(Produits!$B$5:$B$204,MATCH($B149,Produits!$A$5:$A$204,0)),"Code inconnu"))</f>
        <v/>
      </c>
      <c r="D149" s="23"/>
      <c r="E149" s="24"/>
      <c r="F149" s="21" t="str">
        <f aca="false">IF(OR($B149="",$D149=""),"",IFERROR(IF($D149="Entrée",INDEX(Produits!$E$5:$E$204,MATCH($B149,Produits!$A$5:$A$204,0)),INDEX(Produits!$F$5:$F$204,MATCH($B149,Produits!$A$5:$A$204,0))),""))</f>
        <v/>
      </c>
      <c r="G149" s="21" t="str">
        <f aca="false">IF(OR($F149="",$E149=""),"",$E149*$F149)</f>
        <v/>
      </c>
      <c r="H149" s="21" t="str">
        <f aca="false">IF(AND($D149="Sortie",$B149&lt;&gt;"",$E149&lt;&gt;""),IFERROR($E149*INDEX(Produits!$E$5:$E$204,MATCH($B149,Produits!$A$5:$A$204,0)),""),"")</f>
        <v/>
      </c>
      <c r="I149" s="23"/>
    </row>
    <row r="150" customFormat="false" ht="15" hidden="false" customHeight="false" outlineLevel="0" collapsed="false">
      <c r="A150" s="27"/>
      <c r="B150" s="23"/>
      <c r="C150" s="26" t="str">
        <f aca="false">IF($B150="","",IFERROR(INDEX(Produits!$B$5:$B$204,MATCH($B150,Produits!$A$5:$A$204,0)),"Code inconnu"))</f>
        <v/>
      </c>
      <c r="D150" s="23"/>
      <c r="E150" s="24"/>
      <c r="F150" s="21" t="str">
        <f aca="false">IF(OR($B150="",$D150=""),"",IFERROR(IF($D150="Entrée",INDEX(Produits!$E$5:$E$204,MATCH($B150,Produits!$A$5:$A$204,0)),INDEX(Produits!$F$5:$F$204,MATCH($B150,Produits!$A$5:$A$204,0))),""))</f>
        <v/>
      </c>
      <c r="G150" s="21" t="str">
        <f aca="false">IF(OR($F150="",$E150=""),"",$E150*$F150)</f>
        <v/>
      </c>
      <c r="H150" s="21" t="str">
        <f aca="false">IF(AND($D150="Sortie",$B150&lt;&gt;"",$E150&lt;&gt;""),IFERROR($E150*INDEX(Produits!$E$5:$E$204,MATCH($B150,Produits!$A$5:$A$204,0)),""),"")</f>
        <v/>
      </c>
      <c r="I150" s="23"/>
    </row>
    <row r="151" customFormat="false" ht="15" hidden="false" customHeight="false" outlineLevel="0" collapsed="false">
      <c r="A151" s="27"/>
      <c r="B151" s="23"/>
      <c r="C151" s="26" t="str">
        <f aca="false">IF($B151="","",IFERROR(INDEX(Produits!$B$5:$B$204,MATCH($B151,Produits!$A$5:$A$204,0)),"Code inconnu"))</f>
        <v/>
      </c>
      <c r="D151" s="23"/>
      <c r="E151" s="24"/>
      <c r="F151" s="21" t="str">
        <f aca="false">IF(OR($B151="",$D151=""),"",IFERROR(IF($D151="Entrée",INDEX(Produits!$E$5:$E$204,MATCH($B151,Produits!$A$5:$A$204,0)),INDEX(Produits!$F$5:$F$204,MATCH($B151,Produits!$A$5:$A$204,0))),""))</f>
        <v/>
      </c>
      <c r="G151" s="21" t="str">
        <f aca="false">IF(OR($F151="",$E151=""),"",$E151*$F151)</f>
        <v/>
      </c>
      <c r="H151" s="21" t="str">
        <f aca="false">IF(AND($D151="Sortie",$B151&lt;&gt;"",$E151&lt;&gt;""),IFERROR($E151*INDEX(Produits!$E$5:$E$204,MATCH($B151,Produits!$A$5:$A$204,0)),""),"")</f>
        <v/>
      </c>
      <c r="I151" s="23"/>
    </row>
    <row r="152" customFormat="false" ht="15" hidden="false" customHeight="false" outlineLevel="0" collapsed="false">
      <c r="A152" s="27"/>
      <c r="B152" s="23"/>
      <c r="C152" s="26" t="str">
        <f aca="false">IF($B152="","",IFERROR(INDEX(Produits!$B$5:$B$204,MATCH($B152,Produits!$A$5:$A$204,0)),"Code inconnu"))</f>
        <v/>
      </c>
      <c r="D152" s="23"/>
      <c r="E152" s="24"/>
      <c r="F152" s="21" t="str">
        <f aca="false">IF(OR($B152="",$D152=""),"",IFERROR(IF($D152="Entrée",INDEX(Produits!$E$5:$E$204,MATCH($B152,Produits!$A$5:$A$204,0)),INDEX(Produits!$F$5:$F$204,MATCH($B152,Produits!$A$5:$A$204,0))),""))</f>
        <v/>
      </c>
      <c r="G152" s="21" t="str">
        <f aca="false">IF(OR($F152="",$E152=""),"",$E152*$F152)</f>
        <v/>
      </c>
      <c r="H152" s="21" t="str">
        <f aca="false">IF(AND($D152="Sortie",$B152&lt;&gt;"",$E152&lt;&gt;""),IFERROR($E152*INDEX(Produits!$E$5:$E$204,MATCH($B152,Produits!$A$5:$A$204,0)),""),"")</f>
        <v/>
      </c>
      <c r="I152" s="23"/>
    </row>
    <row r="153" customFormat="false" ht="15" hidden="false" customHeight="false" outlineLevel="0" collapsed="false">
      <c r="A153" s="27"/>
      <c r="B153" s="23"/>
      <c r="C153" s="26" t="str">
        <f aca="false">IF($B153="","",IFERROR(INDEX(Produits!$B$5:$B$204,MATCH($B153,Produits!$A$5:$A$204,0)),"Code inconnu"))</f>
        <v/>
      </c>
      <c r="D153" s="23"/>
      <c r="E153" s="24"/>
      <c r="F153" s="21" t="str">
        <f aca="false">IF(OR($B153="",$D153=""),"",IFERROR(IF($D153="Entrée",INDEX(Produits!$E$5:$E$204,MATCH($B153,Produits!$A$5:$A$204,0)),INDEX(Produits!$F$5:$F$204,MATCH($B153,Produits!$A$5:$A$204,0))),""))</f>
        <v/>
      </c>
      <c r="G153" s="21" t="str">
        <f aca="false">IF(OR($F153="",$E153=""),"",$E153*$F153)</f>
        <v/>
      </c>
      <c r="H153" s="21" t="str">
        <f aca="false">IF(AND($D153="Sortie",$B153&lt;&gt;"",$E153&lt;&gt;""),IFERROR($E153*INDEX(Produits!$E$5:$E$204,MATCH($B153,Produits!$A$5:$A$204,0)),""),"")</f>
        <v/>
      </c>
      <c r="I153" s="23"/>
    </row>
    <row r="154" customFormat="false" ht="15" hidden="false" customHeight="false" outlineLevel="0" collapsed="false">
      <c r="A154" s="27"/>
      <c r="B154" s="23"/>
      <c r="C154" s="26" t="str">
        <f aca="false">IF($B154="","",IFERROR(INDEX(Produits!$B$5:$B$204,MATCH($B154,Produits!$A$5:$A$204,0)),"Code inconnu"))</f>
        <v/>
      </c>
      <c r="D154" s="23"/>
      <c r="E154" s="24"/>
      <c r="F154" s="21" t="str">
        <f aca="false">IF(OR($B154="",$D154=""),"",IFERROR(IF($D154="Entrée",INDEX(Produits!$E$5:$E$204,MATCH($B154,Produits!$A$5:$A$204,0)),INDEX(Produits!$F$5:$F$204,MATCH($B154,Produits!$A$5:$A$204,0))),""))</f>
        <v/>
      </c>
      <c r="G154" s="21" t="str">
        <f aca="false">IF(OR($F154="",$E154=""),"",$E154*$F154)</f>
        <v/>
      </c>
      <c r="H154" s="21" t="str">
        <f aca="false">IF(AND($D154="Sortie",$B154&lt;&gt;"",$E154&lt;&gt;""),IFERROR($E154*INDEX(Produits!$E$5:$E$204,MATCH($B154,Produits!$A$5:$A$204,0)),""),"")</f>
        <v/>
      </c>
      <c r="I154" s="23"/>
    </row>
    <row r="155" customFormat="false" ht="15" hidden="false" customHeight="false" outlineLevel="0" collapsed="false">
      <c r="A155" s="27"/>
      <c r="B155" s="23"/>
      <c r="C155" s="26" t="str">
        <f aca="false">IF($B155="","",IFERROR(INDEX(Produits!$B$5:$B$204,MATCH($B155,Produits!$A$5:$A$204,0)),"Code inconnu"))</f>
        <v/>
      </c>
      <c r="D155" s="23"/>
      <c r="E155" s="24"/>
      <c r="F155" s="21" t="str">
        <f aca="false">IF(OR($B155="",$D155=""),"",IFERROR(IF($D155="Entrée",INDEX(Produits!$E$5:$E$204,MATCH($B155,Produits!$A$5:$A$204,0)),INDEX(Produits!$F$5:$F$204,MATCH($B155,Produits!$A$5:$A$204,0))),""))</f>
        <v/>
      </c>
      <c r="G155" s="21" t="str">
        <f aca="false">IF(OR($F155="",$E155=""),"",$E155*$F155)</f>
        <v/>
      </c>
      <c r="H155" s="21" t="str">
        <f aca="false">IF(AND($D155="Sortie",$B155&lt;&gt;"",$E155&lt;&gt;""),IFERROR($E155*INDEX(Produits!$E$5:$E$204,MATCH($B155,Produits!$A$5:$A$204,0)),""),"")</f>
        <v/>
      </c>
      <c r="I155" s="23"/>
    </row>
    <row r="156" customFormat="false" ht="15" hidden="false" customHeight="false" outlineLevel="0" collapsed="false">
      <c r="A156" s="27"/>
      <c r="B156" s="23"/>
      <c r="C156" s="26" t="str">
        <f aca="false">IF($B156="","",IFERROR(INDEX(Produits!$B$5:$B$204,MATCH($B156,Produits!$A$5:$A$204,0)),"Code inconnu"))</f>
        <v/>
      </c>
      <c r="D156" s="23"/>
      <c r="E156" s="24"/>
      <c r="F156" s="21" t="str">
        <f aca="false">IF(OR($B156="",$D156=""),"",IFERROR(IF($D156="Entrée",INDEX(Produits!$E$5:$E$204,MATCH($B156,Produits!$A$5:$A$204,0)),INDEX(Produits!$F$5:$F$204,MATCH($B156,Produits!$A$5:$A$204,0))),""))</f>
        <v/>
      </c>
      <c r="G156" s="21" t="str">
        <f aca="false">IF(OR($F156="",$E156=""),"",$E156*$F156)</f>
        <v/>
      </c>
      <c r="H156" s="21" t="str">
        <f aca="false">IF(AND($D156="Sortie",$B156&lt;&gt;"",$E156&lt;&gt;""),IFERROR($E156*INDEX(Produits!$E$5:$E$204,MATCH($B156,Produits!$A$5:$A$204,0)),""),"")</f>
        <v/>
      </c>
      <c r="I156" s="23"/>
    </row>
    <row r="157" customFormat="false" ht="15" hidden="false" customHeight="false" outlineLevel="0" collapsed="false">
      <c r="A157" s="27"/>
      <c r="B157" s="23"/>
      <c r="C157" s="26" t="str">
        <f aca="false">IF($B157="","",IFERROR(INDEX(Produits!$B$5:$B$204,MATCH($B157,Produits!$A$5:$A$204,0)),"Code inconnu"))</f>
        <v/>
      </c>
      <c r="D157" s="23"/>
      <c r="E157" s="24"/>
      <c r="F157" s="21" t="str">
        <f aca="false">IF(OR($B157="",$D157=""),"",IFERROR(IF($D157="Entrée",INDEX(Produits!$E$5:$E$204,MATCH($B157,Produits!$A$5:$A$204,0)),INDEX(Produits!$F$5:$F$204,MATCH($B157,Produits!$A$5:$A$204,0))),""))</f>
        <v/>
      </c>
      <c r="G157" s="21" t="str">
        <f aca="false">IF(OR($F157="",$E157=""),"",$E157*$F157)</f>
        <v/>
      </c>
      <c r="H157" s="21" t="str">
        <f aca="false">IF(AND($D157="Sortie",$B157&lt;&gt;"",$E157&lt;&gt;""),IFERROR($E157*INDEX(Produits!$E$5:$E$204,MATCH($B157,Produits!$A$5:$A$204,0)),""),"")</f>
        <v/>
      </c>
      <c r="I157" s="23"/>
    </row>
    <row r="158" customFormat="false" ht="15" hidden="false" customHeight="false" outlineLevel="0" collapsed="false">
      <c r="A158" s="27"/>
      <c r="B158" s="23"/>
      <c r="C158" s="26" t="str">
        <f aca="false">IF($B158="","",IFERROR(INDEX(Produits!$B$5:$B$204,MATCH($B158,Produits!$A$5:$A$204,0)),"Code inconnu"))</f>
        <v/>
      </c>
      <c r="D158" s="23"/>
      <c r="E158" s="24"/>
      <c r="F158" s="21" t="str">
        <f aca="false">IF(OR($B158="",$D158=""),"",IFERROR(IF($D158="Entrée",INDEX(Produits!$E$5:$E$204,MATCH($B158,Produits!$A$5:$A$204,0)),INDEX(Produits!$F$5:$F$204,MATCH($B158,Produits!$A$5:$A$204,0))),""))</f>
        <v/>
      </c>
      <c r="G158" s="21" t="str">
        <f aca="false">IF(OR($F158="",$E158=""),"",$E158*$F158)</f>
        <v/>
      </c>
      <c r="H158" s="21" t="str">
        <f aca="false">IF(AND($D158="Sortie",$B158&lt;&gt;"",$E158&lt;&gt;""),IFERROR($E158*INDEX(Produits!$E$5:$E$204,MATCH($B158,Produits!$A$5:$A$204,0)),""),"")</f>
        <v/>
      </c>
      <c r="I158" s="23"/>
    </row>
    <row r="159" customFormat="false" ht="15" hidden="false" customHeight="false" outlineLevel="0" collapsed="false">
      <c r="A159" s="27"/>
      <c r="B159" s="23"/>
      <c r="C159" s="26" t="str">
        <f aca="false">IF($B159="","",IFERROR(INDEX(Produits!$B$5:$B$204,MATCH($B159,Produits!$A$5:$A$204,0)),"Code inconnu"))</f>
        <v/>
      </c>
      <c r="D159" s="23"/>
      <c r="E159" s="24"/>
      <c r="F159" s="21" t="str">
        <f aca="false">IF(OR($B159="",$D159=""),"",IFERROR(IF($D159="Entrée",INDEX(Produits!$E$5:$E$204,MATCH($B159,Produits!$A$5:$A$204,0)),INDEX(Produits!$F$5:$F$204,MATCH($B159,Produits!$A$5:$A$204,0))),""))</f>
        <v/>
      </c>
      <c r="G159" s="21" t="str">
        <f aca="false">IF(OR($F159="",$E159=""),"",$E159*$F159)</f>
        <v/>
      </c>
      <c r="H159" s="21" t="str">
        <f aca="false">IF(AND($D159="Sortie",$B159&lt;&gt;"",$E159&lt;&gt;""),IFERROR($E159*INDEX(Produits!$E$5:$E$204,MATCH($B159,Produits!$A$5:$A$204,0)),""),"")</f>
        <v/>
      </c>
      <c r="I159" s="23"/>
    </row>
    <row r="160" customFormat="false" ht="15" hidden="false" customHeight="false" outlineLevel="0" collapsed="false">
      <c r="A160" s="27"/>
      <c r="B160" s="23"/>
      <c r="C160" s="26" t="str">
        <f aca="false">IF($B160="","",IFERROR(INDEX(Produits!$B$5:$B$204,MATCH($B160,Produits!$A$5:$A$204,0)),"Code inconnu"))</f>
        <v/>
      </c>
      <c r="D160" s="23"/>
      <c r="E160" s="24"/>
      <c r="F160" s="21" t="str">
        <f aca="false">IF(OR($B160="",$D160=""),"",IFERROR(IF($D160="Entrée",INDEX(Produits!$E$5:$E$204,MATCH($B160,Produits!$A$5:$A$204,0)),INDEX(Produits!$F$5:$F$204,MATCH($B160,Produits!$A$5:$A$204,0))),""))</f>
        <v/>
      </c>
      <c r="G160" s="21" t="str">
        <f aca="false">IF(OR($F160="",$E160=""),"",$E160*$F160)</f>
        <v/>
      </c>
      <c r="H160" s="21" t="str">
        <f aca="false">IF(AND($D160="Sortie",$B160&lt;&gt;"",$E160&lt;&gt;""),IFERROR($E160*INDEX(Produits!$E$5:$E$204,MATCH($B160,Produits!$A$5:$A$204,0)),""),"")</f>
        <v/>
      </c>
      <c r="I160" s="23"/>
    </row>
    <row r="161" customFormat="false" ht="15" hidden="false" customHeight="false" outlineLevel="0" collapsed="false">
      <c r="A161" s="27"/>
      <c r="B161" s="23"/>
      <c r="C161" s="26" t="str">
        <f aca="false">IF($B161="","",IFERROR(INDEX(Produits!$B$5:$B$204,MATCH($B161,Produits!$A$5:$A$204,0)),"Code inconnu"))</f>
        <v/>
      </c>
      <c r="D161" s="23"/>
      <c r="E161" s="24"/>
      <c r="F161" s="21" t="str">
        <f aca="false">IF(OR($B161="",$D161=""),"",IFERROR(IF($D161="Entrée",INDEX(Produits!$E$5:$E$204,MATCH($B161,Produits!$A$5:$A$204,0)),INDEX(Produits!$F$5:$F$204,MATCH($B161,Produits!$A$5:$A$204,0))),""))</f>
        <v/>
      </c>
      <c r="G161" s="21" t="str">
        <f aca="false">IF(OR($F161="",$E161=""),"",$E161*$F161)</f>
        <v/>
      </c>
      <c r="H161" s="21" t="str">
        <f aca="false">IF(AND($D161="Sortie",$B161&lt;&gt;"",$E161&lt;&gt;""),IFERROR($E161*INDEX(Produits!$E$5:$E$204,MATCH($B161,Produits!$A$5:$A$204,0)),""),"")</f>
        <v/>
      </c>
      <c r="I161" s="23"/>
    </row>
    <row r="162" customFormat="false" ht="15" hidden="false" customHeight="false" outlineLevel="0" collapsed="false">
      <c r="A162" s="27"/>
      <c r="B162" s="23"/>
      <c r="C162" s="26" t="str">
        <f aca="false">IF($B162="","",IFERROR(INDEX(Produits!$B$5:$B$204,MATCH($B162,Produits!$A$5:$A$204,0)),"Code inconnu"))</f>
        <v/>
      </c>
      <c r="D162" s="23"/>
      <c r="E162" s="24"/>
      <c r="F162" s="21" t="str">
        <f aca="false">IF(OR($B162="",$D162=""),"",IFERROR(IF($D162="Entrée",INDEX(Produits!$E$5:$E$204,MATCH($B162,Produits!$A$5:$A$204,0)),INDEX(Produits!$F$5:$F$204,MATCH($B162,Produits!$A$5:$A$204,0))),""))</f>
        <v/>
      </c>
      <c r="G162" s="21" t="str">
        <f aca="false">IF(OR($F162="",$E162=""),"",$E162*$F162)</f>
        <v/>
      </c>
      <c r="H162" s="21" t="str">
        <f aca="false">IF(AND($D162="Sortie",$B162&lt;&gt;"",$E162&lt;&gt;""),IFERROR($E162*INDEX(Produits!$E$5:$E$204,MATCH($B162,Produits!$A$5:$A$204,0)),""),"")</f>
        <v/>
      </c>
      <c r="I162" s="23"/>
    </row>
    <row r="163" customFormat="false" ht="15" hidden="false" customHeight="false" outlineLevel="0" collapsed="false">
      <c r="A163" s="27"/>
      <c r="B163" s="23"/>
      <c r="C163" s="26" t="str">
        <f aca="false">IF($B163="","",IFERROR(INDEX(Produits!$B$5:$B$204,MATCH($B163,Produits!$A$5:$A$204,0)),"Code inconnu"))</f>
        <v/>
      </c>
      <c r="D163" s="23"/>
      <c r="E163" s="24"/>
      <c r="F163" s="21" t="str">
        <f aca="false">IF(OR($B163="",$D163=""),"",IFERROR(IF($D163="Entrée",INDEX(Produits!$E$5:$E$204,MATCH($B163,Produits!$A$5:$A$204,0)),INDEX(Produits!$F$5:$F$204,MATCH($B163,Produits!$A$5:$A$204,0))),""))</f>
        <v/>
      </c>
      <c r="G163" s="21" t="str">
        <f aca="false">IF(OR($F163="",$E163=""),"",$E163*$F163)</f>
        <v/>
      </c>
      <c r="H163" s="21" t="str">
        <f aca="false">IF(AND($D163="Sortie",$B163&lt;&gt;"",$E163&lt;&gt;""),IFERROR($E163*INDEX(Produits!$E$5:$E$204,MATCH($B163,Produits!$A$5:$A$204,0)),""),"")</f>
        <v/>
      </c>
      <c r="I163" s="23"/>
    </row>
    <row r="164" customFormat="false" ht="15" hidden="false" customHeight="false" outlineLevel="0" collapsed="false">
      <c r="A164" s="27"/>
      <c r="B164" s="23"/>
      <c r="C164" s="26" t="str">
        <f aca="false">IF($B164="","",IFERROR(INDEX(Produits!$B$5:$B$204,MATCH($B164,Produits!$A$5:$A$204,0)),"Code inconnu"))</f>
        <v/>
      </c>
      <c r="D164" s="23"/>
      <c r="E164" s="24"/>
      <c r="F164" s="21" t="str">
        <f aca="false">IF(OR($B164="",$D164=""),"",IFERROR(IF($D164="Entrée",INDEX(Produits!$E$5:$E$204,MATCH($B164,Produits!$A$5:$A$204,0)),INDEX(Produits!$F$5:$F$204,MATCH($B164,Produits!$A$5:$A$204,0))),""))</f>
        <v/>
      </c>
      <c r="G164" s="21" t="str">
        <f aca="false">IF(OR($F164="",$E164=""),"",$E164*$F164)</f>
        <v/>
      </c>
      <c r="H164" s="21" t="str">
        <f aca="false">IF(AND($D164="Sortie",$B164&lt;&gt;"",$E164&lt;&gt;""),IFERROR($E164*INDEX(Produits!$E$5:$E$204,MATCH($B164,Produits!$A$5:$A$204,0)),""),"")</f>
        <v/>
      </c>
      <c r="I164" s="23"/>
    </row>
    <row r="165" customFormat="false" ht="15" hidden="false" customHeight="false" outlineLevel="0" collapsed="false">
      <c r="A165" s="27"/>
      <c r="B165" s="23"/>
      <c r="C165" s="26" t="str">
        <f aca="false">IF($B165="","",IFERROR(INDEX(Produits!$B$5:$B$204,MATCH($B165,Produits!$A$5:$A$204,0)),"Code inconnu"))</f>
        <v/>
      </c>
      <c r="D165" s="23"/>
      <c r="E165" s="24"/>
      <c r="F165" s="21" t="str">
        <f aca="false">IF(OR($B165="",$D165=""),"",IFERROR(IF($D165="Entrée",INDEX(Produits!$E$5:$E$204,MATCH($B165,Produits!$A$5:$A$204,0)),INDEX(Produits!$F$5:$F$204,MATCH($B165,Produits!$A$5:$A$204,0))),""))</f>
        <v/>
      </c>
      <c r="G165" s="21" t="str">
        <f aca="false">IF(OR($F165="",$E165=""),"",$E165*$F165)</f>
        <v/>
      </c>
      <c r="H165" s="21" t="str">
        <f aca="false">IF(AND($D165="Sortie",$B165&lt;&gt;"",$E165&lt;&gt;""),IFERROR($E165*INDEX(Produits!$E$5:$E$204,MATCH($B165,Produits!$A$5:$A$204,0)),""),"")</f>
        <v/>
      </c>
      <c r="I165" s="23"/>
    </row>
    <row r="166" customFormat="false" ht="15" hidden="false" customHeight="false" outlineLevel="0" collapsed="false">
      <c r="A166" s="27"/>
      <c r="B166" s="23"/>
      <c r="C166" s="26" t="str">
        <f aca="false">IF($B166="","",IFERROR(INDEX(Produits!$B$5:$B$204,MATCH($B166,Produits!$A$5:$A$204,0)),"Code inconnu"))</f>
        <v/>
      </c>
      <c r="D166" s="23"/>
      <c r="E166" s="24"/>
      <c r="F166" s="21" t="str">
        <f aca="false">IF(OR($B166="",$D166=""),"",IFERROR(IF($D166="Entrée",INDEX(Produits!$E$5:$E$204,MATCH($B166,Produits!$A$5:$A$204,0)),INDEX(Produits!$F$5:$F$204,MATCH($B166,Produits!$A$5:$A$204,0))),""))</f>
        <v/>
      </c>
      <c r="G166" s="21" t="str">
        <f aca="false">IF(OR($F166="",$E166=""),"",$E166*$F166)</f>
        <v/>
      </c>
      <c r="H166" s="21" t="str">
        <f aca="false">IF(AND($D166="Sortie",$B166&lt;&gt;"",$E166&lt;&gt;""),IFERROR($E166*INDEX(Produits!$E$5:$E$204,MATCH($B166,Produits!$A$5:$A$204,0)),""),"")</f>
        <v/>
      </c>
      <c r="I166" s="23"/>
    </row>
    <row r="167" customFormat="false" ht="15" hidden="false" customHeight="false" outlineLevel="0" collapsed="false">
      <c r="A167" s="27"/>
      <c r="B167" s="23"/>
      <c r="C167" s="26" t="str">
        <f aca="false">IF($B167="","",IFERROR(INDEX(Produits!$B$5:$B$204,MATCH($B167,Produits!$A$5:$A$204,0)),"Code inconnu"))</f>
        <v/>
      </c>
      <c r="D167" s="23"/>
      <c r="E167" s="24"/>
      <c r="F167" s="21" t="str">
        <f aca="false">IF(OR($B167="",$D167=""),"",IFERROR(IF($D167="Entrée",INDEX(Produits!$E$5:$E$204,MATCH($B167,Produits!$A$5:$A$204,0)),INDEX(Produits!$F$5:$F$204,MATCH($B167,Produits!$A$5:$A$204,0))),""))</f>
        <v/>
      </c>
      <c r="G167" s="21" t="str">
        <f aca="false">IF(OR($F167="",$E167=""),"",$E167*$F167)</f>
        <v/>
      </c>
      <c r="H167" s="21" t="str">
        <f aca="false">IF(AND($D167="Sortie",$B167&lt;&gt;"",$E167&lt;&gt;""),IFERROR($E167*INDEX(Produits!$E$5:$E$204,MATCH($B167,Produits!$A$5:$A$204,0)),""),"")</f>
        <v/>
      </c>
      <c r="I167" s="23"/>
    </row>
    <row r="168" customFormat="false" ht="15" hidden="false" customHeight="false" outlineLevel="0" collapsed="false">
      <c r="A168" s="27"/>
      <c r="B168" s="23"/>
      <c r="C168" s="26" t="str">
        <f aca="false">IF($B168="","",IFERROR(INDEX(Produits!$B$5:$B$204,MATCH($B168,Produits!$A$5:$A$204,0)),"Code inconnu"))</f>
        <v/>
      </c>
      <c r="D168" s="23"/>
      <c r="E168" s="24"/>
      <c r="F168" s="21" t="str">
        <f aca="false">IF(OR($B168="",$D168=""),"",IFERROR(IF($D168="Entrée",INDEX(Produits!$E$5:$E$204,MATCH($B168,Produits!$A$5:$A$204,0)),INDEX(Produits!$F$5:$F$204,MATCH($B168,Produits!$A$5:$A$204,0))),""))</f>
        <v/>
      </c>
      <c r="G168" s="21" t="str">
        <f aca="false">IF(OR($F168="",$E168=""),"",$E168*$F168)</f>
        <v/>
      </c>
      <c r="H168" s="21" t="str">
        <f aca="false">IF(AND($D168="Sortie",$B168&lt;&gt;"",$E168&lt;&gt;""),IFERROR($E168*INDEX(Produits!$E$5:$E$204,MATCH($B168,Produits!$A$5:$A$204,0)),""),"")</f>
        <v/>
      </c>
      <c r="I168" s="23"/>
    </row>
    <row r="169" customFormat="false" ht="15" hidden="false" customHeight="false" outlineLevel="0" collapsed="false">
      <c r="A169" s="27"/>
      <c r="B169" s="23"/>
      <c r="C169" s="26" t="str">
        <f aca="false">IF($B169="","",IFERROR(INDEX(Produits!$B$5:$B$204,MATCH($B169,Produits!$A$5:$A$204,0)),"Code inconnu"))</f>
        <v/>
      </c>
      <c r="D169" s="23"/>
      <c r="E169" s="24"/>
      <c r="F169" s="21" t="str">
        <f aca="false">IF(OR($B169="",$D169=""),"",IFERROR(IF($D169="Entrée",INDEX(Produits!$E$5:$E$204,MATCH($B169,Produits!$A$5:$A$204,0)),INDEX(Produits!$F$5:$F$204,MATCH($B169,Produits!$A$5:$A$204,0))),""))</f>
        <v/>
      </c>
      <c r="G169" s="21" t="str">
        <f aca="false">IF(OR($F169="",$E169=""),"",$E169*$F169)</f>
        <v/>
      </c>
      <c r="H169" s="21" t="str">
        <f aca="false">IF(AND($D169="Sortie",$B169&lt;&gt;"",$E169&lt;&gt;""),IFERROR($E169*INDEX(Produits!$E$5:$E$204,MATCH($B169,Produits!$A$5:$A$204,0)),""),"")</f>
        <v/>
      </c>
      <c r="I169" s="23"/>
    </row>
    <row r="170" customFormat="false" ht="15" hidden="false" customHeight="false" outlineLevel="0" collapsed="false">
      <c r="A170" s="27"/>
      <c r="B170" s="23"/>
      <c r="C170" s="26" t="str">
        <f aca="false">IF($B170="","",IFERROR(INDEX(Produits!$B$5:$B$204,MATCH($B170,Produits!$A$5:$A$204,0)),"Code inconnu"))</f>
        <v/>
      </c>
      <c r="D170" s="23"/>
      <c r="E170" s="24"/>
      <c r="F170" s="21" t="str">
        <f aca="false">IF(OR($B170="",$D170=""),"",IFERROR(IF($D170="Entrée",INDEX(Produits!$E$5:$E$204,MATCH($B170,Produits!$A$5:$A$204,0)),INDEX(Produits!$F$5:$F$204,MATCH($B170,Produits!$A$5:$A$204,0))),""))</f>
        <v/>
      </c>
      <c r="G170" s="21" t="str">
        <f aca="false">IF(OR($F170="",$E170=""),"",$E170*$F170)</f>
        <v/>
      </c>
      <c r="H170" s="21" t="str">
        <f aca="false">IF(AND($D170="Sortie",$B170&lt;&gt;"",$E170&lt;&gt;""),IFERROR($E170*INDEX(Produits!$E$5:$E$204,MATCH($B170,Produits!$A$5:$A$204,0)),""),"")</f>
        <v/>
      </c>
      <c r="I170" s="23"/>
    </row>
    <row r="171" customFormat="false" ht="15" hidden="false" customHeight="false" outlineLevel="0" collapsed="false">
      <c r="A171" s="27"/>
      <c r="B171" s="23"/>
      <c r="C171" s="26" t="str">
        <f aca="false">IF($B171="","",IFERROR(INDEX(Produits!$B$5:$B$204,MATCH($B171,Produits!$A$5:$A$204,0)),"Code inconnu"))</f>
        <v/>
      </c>
      <c r="D171" s="23"/>
      <c r="E171" s="24"/>
      <c r="F171" s="21" t="str">
        <f aca="false">IF(OR($B171="",$D171=""),"",IFERROR(IF($D171="Entrée",INDEX(Produits!$E$5:$E$204,MATCH($B171,Produits!$A$5:$A$204,0)),INDEX(Produits!$F$5:$F$204,MATCH($B171,Produits!$A$5:$A$204,0))),""))</f>
        <v/>
      </c>
      <c r="G171" s="21" t="str">
        <f aca="false">IF(OR($F171="",$E171=""),"",$E171*$F171)</f>
        <v/>
      </c>
      <c r="H171" s="21" t="str">
        <f aca="false">IF(AND($D171="Sortie",$B171&lt;&gt;"",$E171&lt;&gt;""),IFERROR($E171*INDEX(Produits!$E$5:$E$204,MATCH($B171,Produits!$A$5:$A$204,0)),""),"")</f>
        <v/>
      </c>
      <c r="I171" s="23"/>
    </row>
    <row r="172" customFormat="false" ht="15" hidden="false" customHeight="false" outlineLevel="0" collapsed="false">
      <c r="A172" s="27"/>
      <c r="B172" s="23"/>
      <c r="C172" s="26" t="str">
        <f aca="false">IF($B172="","",IFERROR(INDEX(Produits!$B$5:$B$204,MATCH($B172,Produits!$A$5:$A$204,0)),"Code inconnu"))</f>
        <v/>
      </c>
      <c r="D172" s="23"/>
      <c r="E172" s="24"/>
      <c r="F172" s="21" t="str">
        <f aca="false">IF(OR($B172="",$D172=""),"",IFERROR(IF($D172="Entrée",INDEX(Produits!$E$5:$E$204,MATCH($B172,Produits!$A$5:$A$204,0)),INDEX(Produits!$F$5:$F$204,MATCH($B172,Produits!$A$5:$A$204,0))),""))</f>
        <v/>
      </c>
      <c r="G172" s="21" t="str">
        <f aca="false">IF(OR($F172="",$E172=""),"",$E172*$F172)</f>
        <v/>
      </c>
      <c r="H172" s="21" t="str">
        <f aca="false">IF(AND($D172="Sortie",$B172&lt;&gt;"",$E172&lt;&gt;""),IFERROR($E172*INDEX(Produits!$E$5:$E$204,MATCH($B172,Produits!$A$5:$A$204,0)),""),"")</f>
        <v/>
      </c>
      <c r="I172" s="23"/>
    </row>
    <row r="173" customFormat="false" ht="15" hidden="false" customHeight="false" outlineLevel="0" collapsed="false">
      <c r="A173" s="27"/>
      <c r="B173" s="23"/>
      <c r="C173" s="26" t="str">
        <f aca="false">IF($B173="","",IFERROR(INDEX(Produits!$B$5:$B$204,MATCH($B173,Produits!$A$5:$A$204,0)),"Code inconnu"))</f>
        <v/>
      </c>
      <c r="D173" s="23"/>
      <c r="E173" s="24"/>
      <c r="F173" s="21" t="str">
        <f aca="false">IF(OR($B173="",$D173=""),"",IFERROR(IF($D173="Entrée",INDEX(Produits!$E$5:$E$204,MATCH($B173,Produits!$A$5:$A$204,0)),INDEX(Produits!$F$5:$F$204,MATCH($B173,Produits!$A$5:$A$204,0))),""))</f>
        <v/>
      </c>
      <c r="G173" s="21" t="str">
        <f aca="false">IF(OR($F173="",$E173=""),"",$E173*$F173)</f>
        <v/>
      </c>
      <c r="H173" s="21" t="str">
        <f aca="false">IF(AND($D173="Sortie",$B173&lt;&gt;"",$E173&lt;&gt;""),IFERROR($E173*INDEX(Produits!$E$5:$E$204,MATCH($B173,Produits!$A$5:$A$204,0)),""),"")</f>
        <v/>
      </c>
      <c r="I173" s="23"/>
    </row>
    <row r="174" customFormat="false" ht="15" hidden="false" customHeight="false" outlineLevel="0" collapsed="false">
      <c r="A174" s="27"/>
      <c r="B174" s="23"/>
      <c r="C174" s="26" t="str">
        <f aca="false">IF($B174="","",IFERROR(INDEX(Produits!$B$5:$B$204,MATCH($B174,Produits!$A$5:$A$204,0)),"Code inconnu"))</f>
        <v/>
      </c>
      <c r="D174" s="23"/>
      <c r="E174" s="24"/>
      <c r="F174" s="21" t="str">
        <f aca="false">IF(OR($B174="",$D174=""),"",IFERROR(IF($D174="Entrée",INDEX(Produits!$E$5:$E$204,MATCH($B174,Produits!$A$5:$A$204,0)),INDEX(Produits!$F$5:$F$204,MATCH($B174,Produits!$A$5:$A$204,0))),""))</f>
        <v/>
      </c>
      <c r="G174" s="21" t="str">
        <f aca="false">IF(OR($F174="",$E174=""),"",$E174*$F174)</f>
        <v/>
      </c>
      <c r="H174" s="21" t="str">
        <f aca="false">IF(AND($D174="Sortie",$B174&lt;&gt;"",$E174&lt;&gt;""),IFERROR($E174*INDEX(Produits!$E$5:$E$204,MATCH($B174,Produits!$A$5:$A$204,0)),""),"")</f>
        <v/>
      </c>
      <c r="I174" s="23"/>
    </row>
    <row r="175" customFormat="false" ht="15" hidden="false" customHeight="false" outlineLevel="0" collapsed="false">
      <c r="A175" s="27"/>
      <c r="B175" s="23"/>
      <c r="C175" s="26" t="str">
        <f aca="false">IF($B175="","",IFERROR(INDEX(Produits!$B$5:$B$204,MATCH($B175,Produits!$A$5:$A$204,0)),"Code inconnu"))</f>
        <v/>
      </c>
      <c r="D175" s="23"/>
      <c r="E175" s="24"/>
      <c r="F175" s="21" t="str">
        <f aca="false">IF(OR($B175="",$D175=""),"",IFERROR(IF($D175="Entrée",INDEX(Produits!$E$5:$E$204,MATCH($B175,Produits!$A$5:$A$204,0)),INDEX(Produits!$F$5:$F$204,MATCH($B175,Produits!$A$5:$A$204,0))),""))</f>
        <v/>
      </c>
      <c r="G175" s="21" t="str">
        <f aca="false">IF(OR($F175="",$E175=""),"",$E175*$F175)</f>
        <v/>
      </c>
      <c r="H175" s="21" t="str">
        <f aca="false">IF(AND($D175="Sortie",$B175&lt;&gt;"",$E175&lt;&gt;""),IFERROR($E175*INDEX(Produits!$E$5:$E$204,MATCH($B175,Produits!$A$5:$A$204,0)),""),"")</f>
        <v/>
      </c>
      <c r="I175" s="23"/>
    </row>
    <row r="176" customFormat="false" ht="15" hidden="false" customHeight="false" outlineLevel="0" collapsed="false">
      <c r="A176" s="27"/>
      <c r="B176" s="23"/>
      <c r="C176" s="26" t="str">
        <f aca="false">IF($B176="","",IFERROR(INDEX(Produits!$B$5:$B$204,MATCH($B176,Produits!$A$5:$A$204,0)),"Code inconnu"))</f>
        <v/>
      </c>
      <c r="D176" s="23"/>
      <c r="E176" s="24"/>
      <c r="F176" s="21" t="str">
        <f aca="false">IF(OR($B176="",$D176=""),"",IFERROR(IF($D176="Entrée",INDEX(Produits!$E$5:$E$204,MATCH($B176,Produits!$A$5:$A$204,0)),INDEX(Produits!$F$5:$F$204,MATCH($B176,Produits!$A$5:$A$204,0))),""))</f>
        <v/>
      </c>
      <c r="G176" s="21" t="str">
        <f aca="false">IF(OR($F176="",$E176=""),"",$E176*$F176)</f>
        <v/>
      </c>
      <c r="H176" s="21" t="str">
        <f aca="false">IF(AND($D176="Sortie",$B176&lt;&gt;"",$E176&lt;&gt;""),IFERROR($E176*INDEX(Produits!$E$5:$E$204,MATCH($B176,Produits!$A$5:$A$204,0)),""),"")</f>
        <v/>
      </c>
      <c r="I176" s="23"/>
    </row>
    <row r="177" customFormat="false" ht="15" hidden="false" customHeight="false" outlineLevel="0" collapsed="false">
      <c r="A177" s="27"/>
      <c r="B177" s="23"/>
      <c r="C177" s="26" t="str">
        <f aca="false">IF($B177="","",IFERROR(INDEX(Produits!$B$5:$B$204,MATCH($B177,Produits!$A$5:$A$204,0)),"Code inconnu"))</f>
        <v/>
      </c>
      <c r="D177" s="23"/>
      <c r="E177" s="24"/>
      <c r="F177" s="21" t="str">
        <f aca="false">IF(OR($B177="",$D177=""),"",IFERROR(IF($D177="Entrée",INDEX(Produits!$E$5:$E$204,MATCH($B177,Produits!$A$5:$A$204,0)),INDEX(Produits!$F$5:$F$204,MATCH($B177,Produits!$A$5:$A$204,0))),""))</f>
        <v/>
      </c>
      <c r="G177" s="21" t="str">
        <f aca="false">IF(OR($F177="",$E177=""),"",$E177*$F177)</f>
        <v/>
      </c>
      <c r="H177" s="21" t="str">
        <f aca="false">IF(AND($D177="Sortie",$B177&lt;&gt;"",$E177&lt;&gt;""),IFERROR($E177*INDEX(Produits!$E$5:$E$204,MATCH($B177,Produits!$A$5:$A$204,0)),""),"")</f>
        <v/>
      </c>
      <c r="I177" s="23"/>
    </row>
    <row r="178" customFormat="false" ht="15" hidden="false" customHeight="false" outlineLevel="0" collapsed="false">
      <c r="A178" s="27"/>
      <c r="B178" s="23"/>
      <c r="C178" s="26" t="str">
        <f aca="false">IF($B178="","",IFERROR(INDEX(Produits!$B$5:$B$204,MATCH($B178,Produits!$A$5:$A$204,0)),"Code inconnu"))</f>
        <v/>
      </c>
      <c r="D178" s="23"/>
      <c r="E178" s="24"/>
      <c r="F178" s="21" t="str">
        <f aca="false">IF(OR($B178="",$D178=""),"",IFERROR(IF($D178="Entrée",INDEX(Produits!$E$5:$E$204,MATCH($B178,Produits!$A$5:$A$204,0)),INDEX(Produits!$F$5:$F$204,MATCH($B178,Produits!$A$5:$A$204,0))),""))</f>
        <v/>
      </c>
      <c r="G178" s="21" t="str">
        <f aca="false">IF(OR($F178="",$E178=""),"",$E178*$F178)</f>
        <v/>
      </c>
      <c r="H178" s="21" t="str">
        <f aca="false">IF(AND($D178="Sortie",$B178&lt;&gt;"",$E178&lt;&gt;""),IFERROR($E178*INDEX(Produits!$E$5:$E$204,MATCH($B178,Produits!$A$5:$A$204,0)),""),"")</f>
        <v/>
      </c>
      <c r="I178" s="23"/>
    </row>
    <row r="179" customFormat="false" ht="15" hidden="false" customHeight="false" outlineLevel="0" collapsed="false">
      <c r="A179" s="27"/>
      <c r="B179" s="23"/>
      <c r="C179" s="26" t="str">
        <f aca="false">IF($B179="","",IFERROR(INDEX(Produits!$B$5:$B$204,MATCH($B179,Produits!$A$5:$A$204,0)),"Code inconnu"))</f>
        <v/>
      </c>
      <c r="D179" s="23"/>
      <c r="E179" s="24"/>
      <c r="F179" s="21" t="str">
        <f aca="false">IF(OR($B179="",$D179=""),"",IFERROR(IF($D179="Entrée",INDEX(Produits!$E$5:$E$204,MATCH($B179,Produits!$A$5:$A$204,0)),INDEX(Produits!$F$5:$F$204,MATCH($B179,Produits!$A$5:$A$204,0))),""))</f>
        <v/>
      </c>
      <c r="G179" s="21" t="str">
        <f aca="false">IF(OR($F179="",$E179=""),"",$E179*$F179)</f>
        <v/>
      </c>
      <c r="H179" s="21" t="str">
        <f aca="false">IF(AND($D179="Sortie",$B179&lt;&gt;"",$E179&lt;&gt;""),IFERROR($E179*INDEX(Produits!$E$5:$E$204,MATCH($B179,Produits!$A$5:$A$204,0)),""),"")</f>
        <v/>
      </c>
      <c r="I179" s="23"/>
    </row>
    <row r="180" customFormat="false" ht="15" hidden="false" customHeight="false" outlineLevel="0" collapsed="false">
      <c r="A180" s="27"/>
      <c r="B180" s="23"/>
      <c r="C180" s="26" t="str">
        <f aca="false">IF($B180="","",IFERROR(INDEX(Produits!$B$5:$B$204,MATCH($B180,Produits!$A$5:$A$204,0)),"Code inconnu"))</f>
        <v/>
      </c>
      <c r="D180" s="23"/>
      <c r="E180" s="24"/>
      <c r="F180" s="21" t="str">
        <f aca="false">IF(OR($B180="",$D180=""),"",IFERROR(IF($D180="Entrée",INDEX(Produits!$E$5:$E$204,MATCH($B180,Produits!$A$5:$A$204,0)),INDEX(Produits!$F$5:$F$204,MATCH($B180,Produits!$A$5:$A$204,0))),""))</f>
        <v/>
      </c>
      <c r="G180" s="21" t="str">
        <f aca="false">IF(OR($F180="",$E180=""),"",$E180*$F180)</f>
        <v/>
      </c>
      <c r="H180" s="21" t="str">
        <f aca="false">IF(AND($D180="Sortie",$B180&lt;&gt;"",$E180&lt;&gt;""),IFERROR($E180*INDEX(Produits!$E$5:$E$204,MATCH($B180,Produits!$A$5:$A$204,0)),""),"")</f>
        <v/>
      </c>
      <c r="I180" s="23"/>
    </row>
    <row r="181" customFormat="false" ht="15" hidden="false" customHeight="false" outlineLevel="0" collapsed="false">
      <c r="A181" s="27"/>
      <c r="B181" s="23"/>
      <c r="C181" s="26" t="str">
        <f aca="false">IF($B181="","",IFERROR(INDEX(Produits!$B$5:$B$204,MATCH($B181,Produits!$A$5:$A$204,0)),"Code inconnu"))</f>
        <v/>
      </c>
      <c r="D181" s="23"/>
      <c r="E181" s="24"/>
      <c r="F181" s="21" t="str">
        <f aca="false">IF(OR($B181="",$D181=""),"",IFERROR(IF($D181="Entrée",INDEX(Produits!$E$5:$E$204,MATCH($B181,Produits!$A$5:$A$204,0)),INDEX(Produits!$F$5:$F$204,MATCH($B181,Produits!$A$5:$A$204,0))),""))</f>
        <v/>
      </c>
      <c r="G181" s="21" t="str">
        <f aca="false">IF(OR($F181="",$E181=""),"",$E181*$F181)</f>
        <v/>
      </c>
      <c r="H181" s="21" t="str">
        <f aca="false">IF(AND($D181="Sortie",$B181&lt;&gt;"",$E181&lt;&gt;""),IFERROR($E181*INDEX(Produits!$E$5:$E$204,MATCH($B181,Produits!$A$5:$A$204,0)),""),"")</f>
        <v/>
      </c>
      <c r="I181" s="23"/>
    </row>
    <row r="182" customFormat="false" ht="15" hidden="false" customHeight="false" outlineLevel="0" collapsed="false">
      <c r="A182" s="27"/>
      <c r="B182" s="23"/>
      <c r="C182" s="26" t="str">
        <f aca="false">IF($B182="","",IFERROR(INDEX(Produits!$B$5:$B$204,MATCH($B182,Produits!$A$5:$A$204,0)),"Code inconnu"))</f>
        <v/>
      </c>
      <c r="D182" s="23"/>
      <c r="E182" s="24"/>
      <c r="F182" s="21" t="str">
        <f aca="false">IF(OR($B182="",$D182=""),"",IFERROR(IF($D182="Entrée",INDEX(Produits!$E$5:$E$204,MATCH($B182,Produits!$A$5:$A$204,0)),INDEX(Produits!$F$5:$F$204,MATCH($B182,Produits!$A$5:$A$204,0))),""))</f>
        <v/>
      </c>
      <c r="G182" s="21" t="str">
        <f aca="false">IF(OR($F182="",$E182=""),"",$E182*$F182)</f>
        <v/>
      </c>
      <c r="H182" s="21" t="str">
        <f aca="false">IF(AND($D182="Sortie",$B182&lt;&gt;"",$E182&lt;&gt;""),IFERROR($E182*INDEX(Produits!$E$5:$E$204,MATCH($B182,Produits!$A$5:$A$204,0)),""),"")</f>
        <v/>
      </c>
      <c r="I182" s="23"/>
    </row>
    <row r="183" customFormat="false" ht="15" hidden="false" customHeight="false" outlineLevel="0" collapsed="false">
      <c r="A183" s="27"/>
      <c r="B183" s="23"/>
      <c r="C183" s="26" t="str">
        <f aca="false">IF($B183="","",IFERROR(INDEX(Produits!$B$5:$B$204,MATCH($B183,Produits!$A$5:$A$204,0)),"Code inconnu"))</f>
        <v/>
      </c>
      <c r="D183" s="23"/>
      <c r="E183" s="24"/>
      <c r="F183" s="21" t="str">
        <f aca="false">IF(OR($B183="",$D183=""),"",IFERROR(IF($D183="Entrée",INDEX(Produits!$E$5:$E$204,MATCH($B183,Produits!$A$5:$A$204,0)),INDEX(Produits!$F$5:$F$204,MATCH($B183,Produits!$A$5:$A$204,0))),""))</f>
        <v/>
      </c>
      <c r="G183" s="21" t="str">
        <f aca="false">IF(OR($F183="",$E183=""),"",$E183*$F183)</f>
        <v/>
      </c>
      <c r="H183" s="21" t="str">
        <f aca="false">IF(AND($D183="Sortie",$B183&lt;&gt;"",$E183&lt;&gt;""),IFERROR($E183*INDEX(Produits!$E$5:$E$204,MATCH($B183,Produits!$A$5:$A$204,0)),""),"")</f>
        <v/>
      </c>
      <c r="I183" s="23"/>
    </row>
    <row r="184" customFormat="false" ht="15" hidden="false" customHeight="false" outlineLevel="0" collapsed="false">
      <c r="A184" s="27"/>
      <c r="B184" s="23"/>
      <c r="C184" s="26" t="str">
        <f aca="false">IF($B184="","",IFERROR(INDEX(Produits!$B$5:$B$204,MATCH($B184,Produits!$A$5:$A$204,0)),"Code inconnu"))</f>
        <v/>
      </c>
      <c r="D184" s="23"/>
      <c r="E184" s="24"/>
      <c r="F184" s="21" t="str">
        <f aca="false">IF(OR($B184="",$D184=""),"",IFERROR(IF($D184="Entrée",INDEX(Produits!$E$5:$E$204,MATCH($B184,Produits!$A$5:$A$204,0)),INDEX(Produits!$F$5:$F$204,MATCH($B184,Produits!$A$5:$A$204,0))),""))</f>
        <v/>
      </c>
      <c r="G184" s="21" t="str">
        <f aca="false">IF(OR($F184="",$E184=""),"",$E184*$F184)</f>
        <v/>
      </c>
      <c r="H184" s="21" t="str">
        <f aca="false">IF(AND($D184="Sortie",$B184&lt;&gt;"",$E184&lt;&gt;""),IFERROR($E184*INDEX(Produits!$E$5:$E$204,MATCH($B184,Produits!$A$5:$A$204,0)),""),"")</f>
        <v/>
      </c>
      <c r="I184" s="23"/>
    </row>
    <row r="185" customFormat="false" ht="15" hidden="false" customHeight="false" outlineLevel="0" collapsed="false">
      <c r="A185" s="27"/>
      <c r="B185" s="23"/>
      <c r="C185" s="26" t="str">
        <f aca="false">IF($B185="","",IFERROR(INDEX(Produits!$B$5:$B$204,MATCH($B185,Produits!$A$5:$A$204,0)),"Code inconnu"))</f>
        <v/>
      </c>
      <c r="D185" s="23"/>
      <c r="E185" s="24"/>
      <c r="F185" s="21" t="str">
        <f aca="false">IF(OR($B185="",$D185=""),"",IFERROR(IF($D185="Entrée",INDEX(Produits!$E$5:$E$204,MATCH($B185,Produits!$A$5:$A$204,0)),INDEX(Produits!$F$5:$F$204,MATCH($B185,Produits!$A$5:$A$204,0))),""))</f>
        <v/>
      </c>
      <c r="G185" s="21" t="str">
        <f aca="false">IF(OR($F185="",$E185=""),"",$E185*$F185)</f>
        <v/>
      </c>
      <c r="H185" s="21" t="str">
        <f aca="false">IF(AND($D185="Sortie",$B185&lt;&gt;"",$E185&lt;&gt;""),IFERROR($E185*INDEX(Produits!$E$5:$E$204,MATCH($B185,Produits!$A$5:$A$204,0)),""),"")</f>
        <v/>
      </c>
      <c r="I185" s="23"/>
    </row>
    <row r="186" customFormat="false" ht="15" hidden="false" customHeight="false" outlineLevel="0" collapsed="false">
      <c r="A186" s="27"/>
      <c r="B186" s="23"/>
      <c r="C186" s="26" t="str">
        <f aca="false">IF($B186="","",IFERROR(INDEX(Produits!$B$5:$B$204,MATCH($B186,Produits!$A$5:$A$204,0)),"Code inconnu"))</f>
        <v/>
      </c>
      <c r="D186" s="23"/>
      <c r="E186" s="24"/>
      <c r="F186" s="21" t="str">
        <f aca="false">IF(OR($B186="",$D186=""),"",IFERROR(IF($D186="Entrée",INDEX(Produits!$E$5:$E$204,MATCH($B186,Produits!$A$5:$A$204,0)),INDEX(Produits!$F$5:$F$204,MATCH($B186,Produits!$A$5:$A$204,0))),""))</f>
        <v/>
      </c>
      <c r="G186" s="21" t="str">
        <f aca="false">IF(OR($F186="",$E186=""),"",$E186*$F186)</f>
        <v/>
      </c>
      <c r="H186" s="21" t="str">
        <f aca="false">IF(AND($D186="Sortie",$B186&lt;&gt;"",$E186&lt;&gt;""),IFERROR($E186*INDEX(Produits!$E$5:$E$204,MATCH($B186,Produits!$A$5:$A$204,0)),""),"")</f>
        <v/>
      </c>
      <c r="I186" s="23"/>
    </row>
    <row r="187" customFormat="false" ht="15" hidden="false" customHeight="false" outlineLevel="0" collapsed="false">
      <c r="A187" s="27"/>
      <c r="B187" s="23"/>
      <c r="C187" s="26" t="str">
        <f aca="false">IF($B187="","",IFERROR(INDEX(Produits!$B$5:$B$204,MATCH($B187,Produits!$A$5:$A$204,0)),"Code inconnu"))</f>
        <v/>
      </c>
      <c r="D187" s="23"/>
      <c r="E187" s="24"/>
      <c r="F187" s="21" t="str">
        <f aca="false">IF(OR($B187="",$D187=""),"",IFERROR(IF($D187="Entrée",INDEX(Produits!$E$5:$E$204,MATCH($B187,Produits!$A$5:$A$204,0)),INDEX(Produits!$F$5:$F$204,MATCH($B187,Produits!$A$5:$A$204,0))),""))</f>
        <v/>
      </c>
      <c r="G187" s="21" t="str">
        <f aca="false">IF(OR($F187="",$E187=""),"",$E187*$F187)</f>
        <v/>
      </c>
      <c r="H187" s="21" t="str">
        <f aca="false">IF(AND($D187="Sortie",$B187&lt;&gt;"",$E187&lt;&gt;""),IFERROR($E187*INDEX(Produits!$E$5:$E$204,MATCH($B187,Produits!$A$5:$A$204,0)),""),"")</f>
        <v/>
      </c>
      <c r="I187" s="23"/>
    </row>
    <row r="188" customFormat="false" ht="15" hidden="false" customHeight="false" outlineLevel="0" collapsed="false">
      <c r="A188" s="27"/>
      <c r="B188" s="23"/>
      <c r="C188" s="26" t="str">
        <f aca="false">IF($B188="","",IFERROR(INDEX(Produits!$B$5:$B$204,MATCH($B188,Produits!$A$5:$A$204,0)),"Code inconnu"))</f>
        <v/>
      </c>
      <c r="D188" s="23"/>
      <c r="E188" s="24"/>
      <c r="F188" s="21" t="str">
        <f aca="false">IF(OR($B188="",$D188=""),"",IFERROR(IF($D188="Entrée",INDEX(Produits!$E$5:$E$204,MATCH($B188,Produits!$A$5:$A$204,0)),INDEX(Produits!$F$5:$F$204,MATCH($B188,Produits!$A$5:$A$204,0))),""))</f>
        <v/>
      </c>
      <c r="G188" s="21" t="str">
        <f aca="false">IF(OR($F188="",$E188=""),"",$E188*$F188)</f>
        <v/>
      </c>
      <c r="H188" s="21" t="str">
        <f aca="false">IF(AND($D188="Sortie",$B188&lt;&gt;"",$E188&lt;&gt;""),IFERROR($E188*INDEX(Produits!$E$5:$E$204,MATCH($B188,Produits!$A$5:$A$204,0)),""),"")</f>
        <v/>
      </c>
      <c r="I188" s="23"/>
    </row>
    <row r="189" customFormat="false" ht="15" hidden="false" customHeight="false" outlineLevel="0" collapsed="false">
      <c r="A189" s="27"/>
      <c r="B189" s="23"/>
      <c r="C189" s="26" t="str">
        <f aca="false">IF($B189="","",IFERROR(INDEX(Produits!$B$5:$B$204,MATCH($B189,Produits!$A$5:$A$204,0)),"Code inconnu"))</f>
        <v/>
      </c>
      <c r="D189" s="23"/>
      <c r="E189" s="24"/>
      <c r="F189" s="21" t="str">
        <f aca="false">IF(OR($B189="",$D189=""),"",IFERROR(IF($D189="Entrée",INDEX(Produits!$E$5:$E$204,MATCH($B189,Produits!$A$5:$A$204,0)),INDEX(Produits!$F$5:$F$204,MATCH($B189,Produits!$A$5:$A$204,0))),""))</f>
        <v/>
      </c>
      <c r="G189" s="21" t="str">
        <f aca="false">IF(OR($F189="",$E189=""),"",$E189*$F189)</f>
        <v/>
      </c>
      <c r="H189" s="21" t="str">
        <f aca="false">IF(AND($D189="Sortie",$B189&lt;&gt;"",$E189&lt;&gt;""),IFERROR($E189*INDEX(Produits!$E$5:$E$204,MATCH($B189,Produits!$A$5:$A$204,0)),""),"")</f>
        <v/>
      </c>
      <c r="I189" s="23"/>
    </row>
    <row r="190" customFormat="false" ht="15" hidden="false" customHeight="false" outlineLevel="0" collapsed="false">
      <c r="A190" s="27"/>
      <c r="B190" s="23"/>
      <c r="C190" s="26" t="str">
        <f aca="false">IF($B190="","",IFERROR(INDEX(Produits!$B$5:$B$204,MATCH($B190,Produits!$A$5:$A$204,0)),"Code inconnu"))</f>
        <v/>
      </c>
      <c r="D190" s="23"/>
      <c r="E190" s="24"/>
      <c r="F190" s="21" t="str">
        <f aca="false">IF(OR($B190="",$D190=""),"",IFERROR(IF($D190="Entrée",INDEX(Produits!$E$5:$E$204,MATCH($B190,Produits!$A$5:$A$204,0)),INDEX(Produits!$F$5:$F$204,MATCH($B190,Produits!$A$5:$A$204,0))),""))</f>
        <v/>
      </c>
      <c r="G190" s="21" t="str">
        <f aca="false">IF(OR($F190="",$E190=""),"",$E190*$F190)</f>
        <v/>
      </c>
      <c r="H190" s="21" t="str">
        <f aca="false">IF(AND($D190="Sortie",$B190&lt;&gt;"",$E190&lt;&gt;""),IFERROR($E190*INDEX(Produits!$E$5:$E$204,MATCH($B190,Produits!$A$5:$A$204,0)),""),"")</f>
        <v/>
      </c>
      <c r="I190" s="23"/>
    </row>
    <row r="191" customFormat="false" ht="15" hidden="false" customHeight="false" outlineLevel="0" collapsed="false">
      <c r="A191" s="27"/>
      <c r="B191" s="23"/>
      <c r="C191" s="26" t="str">
        <f aca="false">IF($B191="","",IFERROR(INDEX(Produits!$B$5:$B$204,MATCH($B191,Produits!$A$5:$A$204,0)),"Code inconnu"))</f>
        <v/>
      </c>
      <c r="D191" s="23"/>
      <c r="E191" s="24"/>
      <c r="F191" s="21" t="str">
        <f aca="false">IF(OR($B191="",$D191=""),"",IFERROR(IF($D191="Entrée",INDEX(Produits!$E$5:$E$204,MATCH($B191,Produits!$A$5:$A$204,0)),INDEX(Produits!$F$5:$F$204,MATCH($B191,Produits!$A$5:$A$204,0))),""))</f>
        <v/>
      </c>
      <c r="G191" s="21" t="str">
        <f aca="false">IF(OR($F191="",$E191=""),"",$E191*$F191)</f>
        <v/>
      </c>
      <c r="H191" s="21" t="str">
        <f aca="false">IF(AND($D191="Sortie",$B191&lt;&gt;"",$E191&lt;&gt;""),IFERROR($E191*INDEX(Produits!$E$5:$E$204,MATCH($B191,Produits!$A$5:$A$204,0)),""),"")</f>
        <v/>
      </c>
      <c r="I191" s="23"/>
    </row>
    <row r="192" customFormat="false" ht="15" hidden="false" customHeight="false" outlineLevel="0" collapsed="false">
      <c r="A192" s="27"/>
      <c r="B192" s="23"/>
      <c r="C192" s="26" t="str">
        <f aca="false">IF($B192="","",IFERROR(INDEX(Produits!$B$5:$B$204,MATCH($B192,Produits!$A$5:$A$204,0)),"Code inconnu"))</f>
        <v/>
      </c>
      <c r="D192" s="23"/>
      <c r="E192" s="24"/>
      <c r="F192" s="21" t="str">
        <f aca="false">IF(OR($B192="",$D192=""),"",IFERROR(IF($D192="Entrée",INDEX(Produits!$E$5:$E$204,MATCH($B192,Produits!$A$5:$A$204,0)),INDEX(Produits!$F$5:$F$204,MATCH($B192,Produits!$A$5:$A$204,0))),""))</f>
        <v/>
      </c>
      <c r="G192" s="21" t="str">
        <f aca="false">IF(OR($F192="",$E192=""),"",$E192*$F192)</f>
        <v/>
      </c>
      <c r="H192" s="21" t="str">
        <f aca="false">IF(AND($D192="Sortie",$B192&lt;&gt;"",$E192&lt;&gt;""),IFERROR($E192*INDEX(Produits!$E$5:$E$204,MATCH($B192,Produits!$A$5:$A$204,0)),""),"")</f>
        <v/>
      </c>
      <c r="I192" s="23"/>
    </row>
    <row r="193" customFormat="false" ht="15" hidden="false" customHeight="false" outlineLevel="0" collapsed="false">
      <c r="A193" s="27"/>
      <c r="B193" s="23"/>
      <c r="C193" s="26" t="str">
        <f aca="false">IF($B193="","",IFERROR(INDEX(Produits!$B$5:$B$204,MATCH($B193,Produits!$A$5:$A$204,0)),"Code inconnu"))</f>
        <v/>
      </c>
      <c r="D193" s="23"/>
      <c r="E193" s="24"/>
      <c r="F193" s="21" t="str">
        <f aca="false">IF(OR($B193="",$D193=""),"",IFERROR(IF($D193="Entrée",INDEX(Produits!$E$5:$E$204,MATCH($B193,Produits!$A$5:$A$204,0)),INDEX(Produits!$F$5:$F$204,MATCH($B193,Produits!$A$5:$A$204,0))),""))</f>
        <v/>
      </c>
      <c r="G193" s="21" t="str">
        <f aca="false">IF(OR($F193="",$E193=""),"",$E193*$F193)</f>
        <v/>
      </c>
      <c r="H193" s="21" t="str">
        <f aca="false">IF(AND($D193="Sortie",$B193&lt;&gt;"",$E193&lt;&gt;""),IFERROR($E193*INDEX(Produits!$E$5:$E$204,MATCH($B193,Produits!$A$5:$A$204,0)),""),"")</f>
        <v/>
      </c>
      <c r="I193" s="23"/>
    </row>
    <row r="194" customFormat="false" ht="15" hidden="false" customHeight="false" outlineLevel="0" collapsed="false">
      <c r="A194" s="27"/>
      <c r="B194" s="23"/>
      <c r="C194" s="26" t="str">
        <f aca="false">IF($B194="","",IFERROR(INDEX(Produits!$B$5:$B$204,MATCH($B194,Produits!$A$5:$A$204,0)),"Code inconnu"))</f>
        <v/>
      </c>
      <c r="D194" s="23"/>
      <c r="E194" s="24"/>
      <c r="F194" s="21" t="str">
        <f aca="false">IF(OR($B194="",$D194=""),"",IFERROR(IF($D194="Entrée",INDEX(Produits!$E$5:$E$204,MATCH($B194,Produits!$A$5:$A$204,0)),INDEX(Produits!$F$5:$F$204,MATCH($B194,Produits!$A$5:$A$204,0))),""))</f>
        <v/>
      </c>
      <c r="G194" s="21" t="str">
        <f aca="false">IF(OR($F194="",$E194=""),"",$E194*$F194)</f>
        <v/>
      </c>
      <c r="H194" s="21" t="str">
        <f aca="false">IF(AND($D194="Sortie",$B194&lt;&gt;"",$E194&lt;&gt;""),IFERROR($E194*INDEX(Produits!$E$5:$E$204,MATCH($B194,Produits!$A$5:$A$204,0)),""),"")</f>
        <v/>
      </c>
      <c r="I194" s="23"/>
    </row>
    <row r="195" customFormat="false" ht="15" hidden="false" customHeight="false" outlineLevel="0" collapsed="false">
      <c r="A195" s="27"/>
      <c r="B195" s="23"/>
      <c r="C195" s="26" t="str">
        <f aca="false">IF($B195="","",IFERROR(INDEX(Produits!$B$5:$B$204,MATCH($B195,Produits!$A$5:$A$204,0)),"Code inconnu"))</f>
        <v/>
      </c>
      <c r="D195" s="23"/>
      <c r="E195" s="24"/>
      <c r="F195" s="21" t="str">
        <f aca="false">IF(OR($B195="",$D195=""),"",IFERROR(IF($D195="Entrée",INDEX(Produits!$E$5:$E$204,MATCH($B195,Produits!$A$5:$A$204,0)),INDEX(Produits!$F$5:$F$204,MATCH($B195,Produits!$A$5:$A$204,0))),""))</f>
        <v/>
      </c>
      <c r="G195" s="21" t="str">
        <f aca="false">IF(OR($F195="",$E195=""),"",$E195*$F195)</f>
        <v/>
      </c>
      <c r="H195" s="21" t="str">
        <f aca="false">IF(AND($D195="Sortie",$B195&lt;&gt;"",$E195&lt;&gt;""),IFERROR($E195*INDEX(Produits!$E$5:$E$204,MATCH($B195,Produits!$A$5:$A$204,0)),""),"")</f>
        <v/>
      </c>
      <c r="I195" s="23"/>
    </row>
    <row r="196" customFormat="false" ht="15" hidden="false" customHeight="false" outlineLevel="0" collapsed="false">
      <c r="A196" s="27"/>
      <c r="B196" s="23"/>
      <c r="C196" s="26" t="str">
        <f aca="false">IF($B196="","",IFERROR(INDEX(Produits!$B$5:$B$204,MATCH($B196,Produits!$A$5:$A$204,0)),"Code inconnu"))</f>
        <v/>
      </c>
      <c r="D196" s="23"/>
      <c r="E196" s="24"/>
      <c r="F196" s="21" t="str">
        <f aca="false">IF(OR($B196="",$D196=""),"",IFERROR(IF($D196="Entrée",INDEX(Produits!$E$5:$E$204,MATCH($B196,Produits!$A$5:$A$204,0)),INDEX(Produits!$F$5:$F$204,MATCH($B196,Produits!$A$5:$A$204,0))),""))</f>
        <v/>
      </c>
      <c r="G196" s="21" t="str">
        <f aca="false">IF(OR($F196="",$E196=""),"",$E196*$F196)</f>
        <v/>
      </c>
      <c r="H196" s="21" t="str">
        <f aca="false">IF(AND($D196="Sortie",$B196&lt;&gt;"",$E196&lt;&gt;""),IFERROR($E196*INDEX(Produits!$E$5:$E$204,MATCH($B196,Produits!$A$5:$A$204,0)),""),"")</f>
        <v/>
      </c>
      <c r="I196" s="23"/>
    </row>
    <row r="197" customFormat="false" ht="15" hidden="false" customHeight="false" outlineLevel="0" collapsed="false">
      <c r="A197" s="27"/>
      <c r="B197" s="23"/>
      <c r="C197" s="26" t="str">
        <f aca="false">IF($B197="","",IFERROR(INDEX(Produits!$B$5:$B$204,MATCH($B197,Produits!$A$5:$A$204,0)),"Code inconnu"))</f>
        <v/>
      </c>
      <c r="D197" s="23"/>
      <c r="E197" s="24"/>
      <c r="F197" s="21" t="str">
        <f aca="false">IF(OR($B197="",$D197=""),"",IFERROR(IF($D197="Entrée",INDEX(Produits!$E$5:$E$204,MATCH($B197,Produits!$A$5:$A$204,0)),INDEX(Produits!$F$5:$F$204,MATCH($B197,Produits!$A$5:$A$204,0))),""))</f>
        <v/>
      </c>
      <c r="G197" s="21" t="str">
        <f aca="false">IF(OR($F197="",$E197=""),"",$E197*$F197)</f>
        <v/>
      </c>
      <c r="H197" s="21" t="str">
        <f aca="false">IF(AND($D197="Sortie",$B197&lt;&gt;"",$E197&lt;&gt;""),IFERROR($E197*INDEX(Produits!$E$5:$E$204,MATCH($B197,Produits!$A$5:$A$204,0)),""),"")</f>
        <v/>
      </c>
      <c r="I197" s="23"/>
    </row>
    <row r="198" customFormat="false" ht="15" hidden="false" customHeight="false" outlineLevel="0" collapsed="false">
      <c r="A198" s="27"/>
      <c r="B198" s="23"/>
      <c r="C198" s="26" t="str">
        <f aca="false">IF($B198="","",IFERROR(INDEX(Produits!$B$5:$B$204,MATCH($B198,Produits!$A$5:$A$204,0)),"Code inconnu"))</f>
        <v/>
      </c>
      <c r="D198" s="23"/>
      <c r="E198" s="24"/>
      <c r="F198" s="21" t="str">
        <f aca="false">IF(OR($B198="",$D198=""),"",IFERROR(IF($D198="Entrée",INDEX(Produits!$E$5:$E$204,MATCH($B198,Produits!$A$5:$A$204,0)),INDEX(Produits!$F$5:$F$204,MATCH($B198,Produits!$A$5:$A$204,0))),""))</f>
        <v/>
      </c>
      <c r="G198" s="21" t="str">
        <f aca="false">IF(OR($F198="",$E198=""),"",$E198*$F198)</f>
        <v/>
      </c>
      <c r="H198" s="21" t="str">
        <f aca="false">IF(AND($D198="Sortie",$B198&lt;&gt;"",$E198&lt;&gt;""),IFERROR($E198*INDEX(Produits!$E$5:$E$204,MATCH($B198,Produits!$A$5:$A$204,0)),""),"")</f>
        <v/>
      </c>
      <c r="I198" s="23"/>
    </row>
    <row r="199" customFormat="false" ht="15" hidden="false" customHeight="false" outlineLevel="0" collapsed="false">
      <c r="A199" s="27"/>
      <c r="B199" s="23"/>
      <c r="C199" s="26" t="str">
        <f aca="false">IF($B199="","",IFERROR(INDEX(Produits!$B$5:$B$204,MATCH($B199,Produits!$A$5:$A$204,0)),"Code inconnu"))</f>
        <v/>
      </c>
      <c r="D199" s="23"/>
      <c r="E199" s="24"/>
      <c r="F199" s="21" t="str">
        <f aca="false">IF(OR($B199="",$D199=""),"",IFERROR(IF($D199="Entrée",INDEX(Produits!$E$5:$E$204,MATCH($B199,Produits!$A$5:$A$204,0)),INDEX(Produits!$F$5:$F$204,MATCH($B199,Produits!$A$5:$A$204,0))),""))</f>
        <v/>
      </c>
      <c r="G199" s="21" t="str">
        <f aca="false">IF(OR($F199="",$E199=""),"",$E199*$F199)</f>
        <v/>
      </c>
      <c r="H199" s="21" t="str">
        <f aca="false">IF(AND($D199="Sortie",$B199&lt;&gt;"",$E199&lt;&gt;""),IFERROR($E199*INDEX(Produits!$E$5:$E$204,MATCH($B199,Produits!$A$5:$A$204,0)),""),"")</f>
        <v/>
      </c>
      <c r="I199" s="23"/>
    </row>
    <row r="200" customFormat="false" ht="15" hidden="false" customHeight="false" outlineLevel="0" collapsed="false">
      <c r="A200" s="27"/>
      <c r="B200" s="23"/>
      <c r="C200" s="26" t="str">
        <f aca="false">IF($B200="","",IFERROR(INDEX(Produits!$B$5:$B$204,MATCH($B200,Produits!$A$5:$A$204,0)),"Code inconnu"))</f>
        <v/>
      </c>
      <c r="D200" s="23"/>
      <c r="E200" s="24"/>
      <c r="F200" s="21" t="str">
        <f aca="false">IF(OR($B200="",$D200=""),"",IFERROR(IF($D200="Entrée",INDEX(Produits!$E$5:$E$204,MATCH($B200,Produits!$A$5:$A$204,0)),INDEX(Produits!$F$5:$F$204,MATCH($B200,Produits!$A$5:$A$204,0))),""))</f>
        <v/>
      </c>
      <c r="G200" s="21" t="str">
        <f aca="false">IF(OR($F200="",$E200=""),"",$E200*$F200)</f>
        <v/>
      </c>
      <c r="H200" s="21" t="str">
        <f aca="false">IF(AND($D200="Sortie",$B200&lt;&gt;"",$E200&lt;&gt;""),IFERROR($E200*INDEX(Produits!$E$5:$E$204,MATCH($B200,Produits!$A$5:$A$204,0)),""),"")</f>
        <v/>
      </c>
      <c r="I200" s="23"/>
    </row>
    <row r="201" customFormat="false" ht="15" hidden="false" customHeight="false" outlineLevel="0" collapsed="false">
      <c r="A201" s="27"/>
      <c r="B201" s="23"/>
      <c r="C201" s="26" t="str">
        <f aca="false">IF($B201="","",IFERROR(INDEX(Produits!$B$5:$B$204,MATCH($B201,Produits!$A$5:$A$204,0)),"Code inconnu"))</f>
        <v/>
      </c>
      <c r="D201" s="23"/>
      <c r="E201" s="24"/>
      <c r="F201" s="21" t="str">
        <f aca="false">IF(OR($B201="",$D201=""),"",IFERROR(IF($D201="Entrée",INDEX(Produits!$E$5:$E$204,MATCH($B201,Produits!$A$5:$A$204,0)),INDEX(Produits!$F$5:$F$204,MATCH($B201,Produits!$A$5:$A$204,0))),""))</f>
        <v/>
      </c>
      <c r="G201" s="21" t="str">
        <f aca="false">IF(OR($F201="",$E201=""),"",$E201*$F201)</f>
        <v/>
      </c>
      <c r="H201" s="21" t="str">
        <f aca="false">IF(AND($D201="Sortie",$B201&lt;&gt;"",$E201&lt;&gt;""),IFERROR($E201*INDEX(Produits!$E$5:$E$204,MATCH($B201,Produits!$A$5:$A$204,0)),""),"")</f>
        <v/>
      </c>
      <c r="I201" s="23"/>
    </row>
    <row r="202" customFormat="false" ht="15" hidden="false" customHeight="false" outlineLevel="0" collapsed="false">
      <c r="A202" s="27"/>
      <c r="B202" s="23"/>
      <c r="C202" s="26" t="str">
        <f aca="false">IF($B202="","",IFERROR(INDEX(Produits!$B$5:$B$204,MATCH($B202,Produits!$A$5:$A$204,0)),"Code inconnu"))</f>
        <v/>
      </c>
      <c r="D202" s="23"/>
      <c r="E202" s="24"/>
      <c r="F202" s="21" t="str">
        <f aca="false">IF(OR($B202="",$D202=""),"",IFERROR(IF($D202="Entrée",INDEX(Produits!$E$5:$E$204,MATCH($B202,Produits!$A$5:$A$204,0)),INDEX(Produits!$F$5:$F$204,MATCH($B202,Produits!$A$5:$A$204,0))),""))</f>
        <v/>
      </c>
      <c r="G202" s="21" t="str">
        <f aca="false">IF(OR($F202="",$E202=""),"",$E202*$F202)</f>
        <v/>
      </c>
      <c r="H202" s="21" t="str">
        <f aca="false">IF(AND($D202="Sortie",$B202&lt;&gt;"",$E202&lt;&gt;""),IFERROR($E202*INDEX(Produits!$E$5:$E$204,MATCH($B202,Produits!$A$5:$A$204,0)),""),"")</f>
        <v/>
      </c>
      <c r="I202" s="23"/>
    </row>
    <row r="203" customFormat="false" ht="15" hidden="false" customHeight="false" outlineLevel="0" collapsed="false">
      <c r="A203" s="27"/>
      <c r="B203" s="23"/>
      <c r="C203" s="26" t="str">
        <f aca="false">IF($B203="","",IFERROR(INDEX(Produits!$B$5:$B$204,MATCH($B203,Produits!$A$5:$A$204,0)),"Code inconnu"))</f>
        <v/>
      </c>
      <c r="D203" s="23"/>
      <c r="E203" s="24"/>
      <c r="F203" s="21" t="str">
        <f aca="false">IF(OR($B203="",$D203=""),"",IFERROR(IF($D203="Entrée",INDEX(Produits!$E$5:$E$204,MATCH($B203,Produits!$A$5:$A$204,0)),INDEX(Produits!$F$5:$F$204,MATCH($B203,Produits!$A$5:$A$204,0))),""))</f>
        <v/>
      </c>
      <c r="G203" s="21" t="str">
        <f aca="false">IF(OR($F203="",$E203=""),"",$E203*$F203)</f>
        <v/>
      </c>
      <c r="H203" s="21" t="str">
        <f aca="false">IF(AND($D203="Sortie",$B203&lt;&gt;"",$E203&lt;&gt;""),IFERROR($E203*INDEX(Produits!$E$5:$E$204,MATCH($B203,Produits!$A$5:$A$204,0)),""),"")</f>
        <v/>
      </c>
      <c r="I203" s="23"/>
    </row>
    <row r="204" customFormat="false" ht="15" hidden="false" customHeight="false" outlineLevel="0" collapsed="false">
      <c r="A204" s="27"/>
      <c r="B204" s="23"/>
      <c r="C204" s="26" t="str">
        <f aca="false">IF($B204="","",IFERROR(INDEX(Produits!$B$5:$B$204,MATCH($B204,Produits!$A$5:$A$204,0)),"Code inconnu"))</f>
        <v/>
      </c>
      <c r="D204" s="23"/>
      <c r="E204" s="24"/>
      <c r="F204" s="21" t="str">
        <f aca="false">IF(OR($B204="",$D204=""),"",IFERROR(IF($D204="Entrée",INDEX(Produits!$E$5:$E$204,MATCH($B204,Produits!$A$5:$A$204,0)),INDEX(Produits!$F$5:$F$204,MATCH($B204,Produits!$A$5:$A$204,0))),""))</f>
        <v/>
      </c>
      <c r="G204" s="21" t="str">
        <f aca="false">IF(OR($F204="",$E204=""),"",$E204*$F204)</f>
        <v/>
      </c>
      <c r="H204" s="21" t="str">
        <f aca="false">IF(AND($D204="Sortie",$B204&lt;&gt;"",$E204&lt;&gt;""),IFERROR($E204*INDEX(Produits!$E$5:$E$204,MATCH($B204,Produits!$A$5:$A$204,0)),""),"")</f>
        <v/>
      </c>
      <c r="I204" s="23"/>
    </row>
    <row r="205" customFormat="false" ht="15" hidden="false" customHeight="false" outlineLevel="0" collapsed="false">
      <c r="A205" s="27"/>
      <c r="B205" s="23"/>
      <c r="C205" s="26" t="str">
        <f aca="false">IF($B205="","",IFERROR(INDEX(Produits!$B$5:$B$204,MATCH($B205,Produits!$A$5:$A$204,0)),"Code inconnu"))</f>
        <v/>
      </c>
      <c r="D205" s="23"/>
      <c r="E205" s="24"/>
      <c r="F205" s="21" t="str">
        <f aca="false">IF(OR($B205="",$D205=""),"",IFERROR(IF($D205="Entrée",INDEX(Produits!$E$5:$E$204,MATCH($B205,Produits!$A$5:$A$204,0)),INDEX(Produits!$F$5:$F$204,MATCH($B205,Produits!$A$5:$A$204,0))),""))</f>
        <v/>
      </c>
      <c r="G205" s="21" t="str">
        <f aca="false">IF(OR($F205="",$E205=""),"",$E205*$F205)</f>
        <v/>
      </c>
      <c r="H205" s="21" t="str">
        <f aca="false">IF(AND($D205="Sortie",$B205&lt;&gt;"",$E205&lt;&gt;""),IFERROR($E205*INDEX(Produits!$E$5:$E$204,MATCH($B205,Produits!$A$5:$A$204,0)),""),"")</f>
        <v/>
      </c>
      <c r="I205" s="23"/>
    </row>
    <row r="206" customFormat="false" ht="15" hidden="false" customHeight="false" outlineLevel="0" collapsed="false">
      <c r="A206" s="27"/>
      <c r="B206" s="23"/>
      <c r="C206" s="26" t="str">
        <f aca="false">IF($B206="","",IFERROR(INDEX(Produits!$B$5:$B$204,MATCH($B206,Produits!$A$5:$A$204,0)),"Code inconnu"))</f>
        <v/>
      </c>
      <c r="D206" s="23"/>
      <c r="E206" s="24"/>
      <c r="F206" s="21" t="str">
        <f aca="false">IF(OR($B206="",$D206=""),"",IFERROR(IF($D206="Entrée",INDEX(Produits!$E$5:$E$204,MATCH($B206,Produits!$A$5:$A$204,0)),INDEX(Produits!$F$5:$F$204,MATCH($B206,Produits!$A$5:$A$204,0))),""))</f>
        <v/>
      </c>
      <c r="G206" s="21" t="str">
        <f aca="false">IF(OR($F206="",$E206=""),"",$E206*$F206)</f>
        <v/>
      </c>
      <c r="H206" s="21" t="str">
        <f aca="false">IF(AND($D206="Sortie",$B206&lt;&gt;"",$E206&lt;&gt;""),IFERROR($E206*INDEX(Produits!$E$5:$E$204,MATCH($B206,Produits!$A$5:$A$204,0)),""),"")</f>
        <v/>
      </c>
      <c r="I206" s="23"/>
    </row>
    <row r="207" customFormat="false" ht="15" hidden="false" customHeight="false" outlineLevel="0" collapsed="false">
      <c r="A207" s="27"/>
      <c r="B207" s="23"/>
      <c r="C207" s="26" t="str">
        <f aca="false">IF($B207="","",IFERROR(INDEX(Produits!$B$5:$B$204,MATCH($B207,Produits!$A$5:$A$204,0)),"Code inconnu"))</f>
        <v/>
      </c>
      <c r="D207" s="23"/>
      <c r="E207" s="24"/>
      <c r="F207" s="21" t="str">
        <f aca="false">IF(OR($B207="",$D207=""),"",IFERROR(IF($D207="Entrée",INDEX(Produits!$E$5:$E$204,MATCH($B207,Produits!$A$5:$A$204,0)),INDEX(Produits!$F$5:$F$204,MATCH($B207,Produits!$A$5:$A$204,0))),""))</f>
        <v/>
      </c>
      <c r="G207" s="21" t="str">
        <f aca="false">IF(OR($F207="",$E207=""),"",$E207*$F207)</f>
        <v/>
      </c>
      <c r="H207" s="21" t="str">
        <f aca="false">IF(AND($D207="Sortie",$B207&lt;&gt;"",$E207&lt;&gt;""),IFERROR($E207*INDEX(Produits!$E$5:$E$204,MATCH($B207,Produits!$A$5:$A$204,0)),""),"")</f>
        <v/>
      </c>
      <c r="I207" s="23"/>
    </row>
    <row r="208" customFormat="false" ht="15" hidden="false" customHeight="false" outlineLevel="0" collapsed="false">
      <c r="A208" s="27"/>
      <c r="B208" s="23"/>
      <c r="C208" s="26" t="str">
        <f aca="false">IF($B208="","",IFERROR(INDEX(Produits!$B$5:$B$204,MATCH($B208,Produits!$A$5:$A$204,0)),"Code inconnu"))</f>
        <v/>
      </c>
      <c r="D208" s="23"/>
      <c r="E208" s="24"/>
      <c r="F208" s="21" t="str">
        <f aca="false">IF(OR($B208="",$D208=""),"",IFERROR(IF($D208="Entrée",INDEX(Produits!$E$5:$E$204,MATCH($B208,Produits!$A$5:$A$204,0)),INDEX(Produits!$F$5:$F$204,MATCH($B208,Produits!$A$5:$A$204,0))),""))</f>
        <v/>
      </c>
      <c r="G208" s="21" t="str">
        <f aca="false">IF(OR($F208="",$E208=""),"",$E208*$F208)</f>
        <v/>
      </c>
      <c r="H208" s="21" t="str">
        <f aca="false">IF(AND($D208="Sortie",$B208&lt;&gt;"",$E208&lt;&gt;""),IFERROR($E208*INDEX(Produits!$E$5:$E$204,MATCH($B208,Produits!$A$5:$A$204,0)),""),"")</f>
        <v/>
      </c>
      <c r="I208" s="23"/>
    </row>
    <row r="209" customFormat="false" ht="15" hidden="false" customHeight="false" outlineLevel="0" collapsed="false">
      <c r="A209" s="27"/>
      <c r="B209" s="23"/>
      <c r="C209" s="26" t="str">
        <f aca="false">IF($B209="","",IFERROR(INDEX(Produits!$B$5:$B$204,MATCH($B209,Produits!$A$5:$A$204,0)),"Code inconnu"))</f>
        <v/>
      </c>
      <c r="D209" s="23"/>
      <c r="E209" s="24"/>
      <c r="F209" s="21" t="str">
        <f aca="false">IF(OR($B209="",$D209=""),"",IFERROR(IF($D209="Entrée",INDEX(Produits!$E$5:$E$204,MATCH($B209,Produits!$A$5:$A$204,0)),INDEX(Produits!$F$5:$F$204,MATCH($B209,Produits!$A$5:$A$204,0))),""))</f>
        <v/>
      </c>
      <c r="G209" s="21" t="str">
        <f aca="false">IF(OR($F209="",$E209=""),"",$E209*$F209)</f>
        <v/>
      </c>
      <c r="H209" s="21" t="str">
        <f aca="false">IF(AND($D209="Sortie",$B209&lt;&gt;"",$E209&lt;&gt;""),IFERROR($E209*INDEX(Produits!$E$5:$E$204,MATCH($B209,Produits!$A$5:$A$204,0)),""),"")</f>
        <v/>
      </c>
      <c r="I209" s="23"/>
    </row>
    <row r="210" customFormat="false" ht="15" hidden="false" customHeight="false" outlineLevel="0" collapsed="false">
      <c r="A210" s="27"/>
      <c r="B210" s="23"/>
      <c r="C210" s="26" t="str">
        <f aca="false">IF($B210="","",IFERROR(INDEX(Produits!$B$5:$B$204,MATCH($B210,Produits!$A$5:$A$204,0)),"Code inconnu"))</f>
        <v/>
      </c>
      <c r="D210" s="23"/>
      <c r="E210" s="24"/>
      <c r="F210" s="21" t="str">
        <f aca="false">IF(OR($B210="",$D210=""),"",IFERROR(IF($D210="Entrée",INDEX(Produits!$E$5:$E$204,MATCH($B210,Produits!$A$5:$A$204,0)),INDEX(Produits!$F$5:$F$204,MATCH($B210,Produits!$A$5:$A$204,0))),""))</f>
        <v/>
      </c>
      <c r="G210" s="21" t="str">
        <f aca="false">IF(OR($F210="",$E210=""),"",$E210*$F210)</f>
        <v/>
      </c>
      <c r="H210" s="21" t="str">
        <f aca="false">IF(AND($D210="Sortie",$B210&lt;&gt;"",$E210&lt;&gt;""),IFERROR($E210*INDEX(Produits!$E$5:$E$204,MATCH($B210,Produits!$A$5:$A$204,0)),""),"")</f>
        <v/>
      </c>
      <c r="I210" s="23"/>
    </row>
    <row r="211" customFormat="false" ht="15" hidden="false" customHeight="false" outlineLevel="0" collapsed="false">
      <c r="A211" s="27"/>
      <c r="B211" s="23"/>
      <c r="C211" s="26" t="str">
        <f aca="false">IF($B211="","",IFERROR(INDEX(Produits!$B$5:$B$204,MATCH($B211,Produits!$A$5:$A$204,0)),"Code inconnu"))</f>
        <v/>
      </c>
      <c r="D211" s="23"/>
      <c r="E211" s="24"/>
      <c r="F211" s="21" t="str">
        <f aca="false">IF(OR($B211="",$D211=""),"",IFERROR(IF($D211="Entrée",INDEX(Produits!$E$5:$E$204,MATCH($B211,Produits!$A$5:$A$204,0)),INDEX(Produits!$F$5:$F$204,MATCH($B211,Produits!$A$5:$A$204,0))),""))</f>
        <v/>
      </c>
      <c r="G211" s="21" t="str">
        <f aca="false">IF(OR($F211="",$E211=""),"",$E211*$F211)</f>
        <v/>
      </c>
      <c r="H211" s="21" t="str">
        <f aca="false">IF(AND($D211="Sortie",$B211&lt;&gt;"",$E211&lt;&gt;""),IFERROR($E211*INDEX(Produits!$E$5:$E$204,MATCH($B211,Produits!$A$5:$A$204,0)),""),"")</f>
        <v/>
      </c>
      <c r="I211" s="23"/>
    </row>
    <row r="212" customFormat="false" ht="15" hidden="false" customHeight="false" outlineLevel="0" collapsed="false">
      <c r="A212" s="27"/>
      <c r="B212" s="23"/>
      <c r="C212" s="26" t="str">
        <f aca="false">IF($B212="","",IFERROR(INDEX(Produits!$B$5:$B$204,MATCH($B212,Produits!$A$5:$A$204,0)),"Code inconnu"))</f>
        <v/>
      </c>
      <c r="D212" s="23"/>
      <c r="E212" s="24"/>
      <c r="F212" s="21" t="str">
        <f aca="false">IF(OR($B212="",$D212=""),"",IFERROR(IF($D212="Entrée",INDEX(Produits!$E$5:$E$204,MATCH($B212,Produits!$A$5:$A$204,0)),INDEX(Produits!$F$5:$F$204,MATCH($B212,Produits!$A$5:$A$204,0))),""))</f>
        <v/>
      </c>
      <c r="G212" s="21" t="str">
        <f aca="false">IF(OR($F212="",$E212=""),"",$E212*$F212)</f>
        <v/>
      </c>
      <c r="H212" s="21" t="str">
        <f aca="false">IF(AND($D212="Sortie",$B212&lt;&gt;"",$E212&lt;&gt;""),IFERROR($E212*INDEX(Produits!$E$5:$E$204,MATCH($B212,Produits!$A$5:$A$204,0)),""),"")</f>
        <v/>
      </c>
      <c r="I212" s="23"/>
    </row>
    <row r="213" customFormat="false" ht="15" hidden="false" customHeight="false" outlineLevel="0" collapsed="false">
      <c r="A213" s="27"/>
      <c r="B213" s="23"/>
      <c r="C213" s="26" t="str">
        <f aca="false">IF($B213="","",IFERROR(INDEX(Produits!$B$5:$B$204,MATCH($B213,Produits!$A$5:$A$204,0)),"Code inconnu"))</f>
        <v/>
      </c>
      <c r="D213" s="23"/>
      <c r="E213" s="24"/>
      <c r="F213" s="21" t="str">
        <f aca="false">IF(OR($B213="",$D213=""),"",IFERROR(IF($D213="Entrée",INDEX(Produits!$E$5:$E$204,MATCH($B213,Produits!$A$5:$A$204,0)),INDEX(Produits!$F$5:$F$204,MATCH($B213,Produits!$A$5:$A$204,0))),""))</f>
        <v/>
      </c>
      <c r="G213" s="21" t="str">
        <f aca="false">IF(OR($F213="",$E213=""),"",$E213*$F213)</f>
        <v/>
      </c>
      <c r="H213" s="21" t="str">
        <f aca="false">IF(AND($D213="Sortie",$B213&lt;&gt;"",$E213&lt;&gt;""),IFERROR($E213*INDEX(Produits!$E$5:$E$204,MATCH($B213,Produits!$A$5:$A$204,0)),""),"")</f>
        <v/>
      </c>
      <c r="I213" s="23"/>
    </row>
    <row r="214" customFormat="false" ht="15" hidden="false" customHeight="false" outlineLevel="0" collapsed="false">
      <c r="A214" s="27"/>
      <c r="B214" s="23"/>
      <c r="C214" s="26" t="str">
        <f aca="false">IF($B214="","",IFERROR(INDEX(Produits!$B$5:$B$204,MATCH($B214,Produits!$A$5:$A$204,0)),"Code inconnu"))</f>
        <v/>
      </c>
      <c r="D214" s="23"/>
      <c r="E214" s="24"/>
      <c r="F214" s="21" t="str">
        <f aca="false">IF(OR($B214="",$D214=""),"",IFERROR(IF($D214="Entrée",INDEX(Produits!$E$5:$E$204,MATCH($B214,Produits!$A$5:$A$204,0)),INDEX(Produits!$F$5:$F$204,MATCH($B214,Produits!$A$5:$A$204,0))),""))</f>
        <v/>
      </c>
      <c r="G214" s="21" t="str">
        <f aca="false">IF(OR($F214="",$E214=""),"",$E214*$F214)</f>
        <v/>
      </c>
      <c r="H214" s="21" t="str">
        <f aca="false">IF(AND($D214="Sortie",$B214&lt;&gt;"",$E214&lt;&gt;""),IFERROR($E214*INDEX(Produits!$E$5:$E$204,MATCH($B214,Produits!$A$5:$A$204,0)),""),"")</f>
        <v/>
      </c>
      <c r="I214" s="23"/>
    </row>
    <row r="215" customFormat="false" ht="15" hidden="false" customHeight="false" outlineLevel="0" collapsed="false">
      <c r="A215" s="27"/>
      <c r="B215" s="23"/>
      <c r="C215" s="26" t="str">
        <f aca="false">IF($B215="","",IFERROR(INDEX(Produits!$B$5:$B$204,MATCH($B215,Produits!$A$5:$A$204,0)),"Code inconnu"))</f>
        <v/>
      </c>
      <c r="D215" s="23"/>
      <c r="E215" s="24"/>
      <c r="F215" s="21" t="str">
        <f aca="false">IF(OR($B215="",$D215=""),"",IFERROR(IF($D215="Entrée",INDEX(Produits!$E$5:$E$204,MATCH($B215,Produits!$A$5:$A$204,0)),INDEX(Produits!$F$5:$F$204,MATCH($B215,Produits!$A$5:$A$204,0))),""))</f>
        <v/>
      </c>
      <c r="G215" s="21" t="str">
        <f aca="false">IF(OR($F215="",$E215=""),"",$E215*$F215)</f>
        <v/>
      </c>
      <c r="H215" s="21" t="str">
        <f aca="false">IF(AND($D215="Sortie",$B215&lt;&gt;"",$E215&lt;&gt;""),IFERROR($E215*INDEX(Produits!$E$5:$E$204,MATCH($B215,Produits!$A$5:$A$204,0)),""),"")</f>
        <v/>
      </c>
      <c r="I215" s="23"/>
    </row>
    <row r="216" customFormat="false" ht="15" hidden="false" customHeight="false" outlineLevel="0" collapsed="false">
      <c r="A216" s="27"/>
      <c r="B216" s="23"/>
      <c r="C216" s="26" t="str">
        <f aca="false">IF($B216="","",IFERROR(INDEX(Produits!$B$5:$B$204,MATCH($B216,Produits!$A$5:$A$204,0)),"Code inconnu"))</f>
        <v/>
      </c>
      <c r="D216" s="23"/>
      <c r="E216" s="24"/>
      <c r="F216" s="21" t="str">
        <f aca="false">IF(OR($B216="",$D216=""),"",IFERROR(IF($D216="Entrée",INDEX(Produits!$E$5:$E$204,MATCH($B216,Produits!$A$5:$A$204,0)),INDEX(Produits!$F$5:$F$204,MATCH($B216,Produits!$A$5:$A$204,0))),""))</f>
        <v/>
      </c>
      <c r="G216" s="21" t="str">
        <f aca="false">IF(OR($F216="",$E216=""),"",$E216*$F216)</f>
        <v/>
      </c>
      <c r="H216" s="21" t="str">
        <f aca="false">IF(AND($D216="Sortie",$B216&lt;&gt;"",$E216&lt;&gt;""),IFERROR($E216*INDEX(Produits!$E$5:$E$204,MATCH($B216,Produits!$A$5:$A$204,0)),""),"")</f>
        <v/>
      </c>
      <c r="I216" s="23"/>
    </row>
    <row r="217" customFormat="false" ht="15" hidden="false" customHeight="false" outlineLevel="0" collapsed="false">
      <c r="A217" s="27"/>
      <c r="B217" s="23"/>
      <c r="C217" s="26" t="str">
        <f aca="false">IF($B217="","",IFERROR(INDEX(Produits!$B$5:$B$204,MATCH($B217,Produits!$A$5:$A$204,0)),"Code inconnu"))</f>
        <v/>
      </c>
      <c r="D217" s="23"/>
      <c r="E217" s="24"/>
      <c r="F217" s="21" t="str">
        <f aca="false">IF(OR($B217="",$D217=""),"",IFERROR(IF($D217="Entrée",INDEX(Produits!$E$5:$E$204,MATCH($B217,Produits!$A$5:$A$204,0)),INDEX(Produits!$F$5:$F$204,MATCH($B217,Produits!$A$5:$A$204,0))),""))</f>
        <v/>
      </c>
      <c r="G217" s="21" t="str">
        <f aca="false">IF(OR($F217="",$E217=""),"",$E217*$F217)</f>
        <v/>
      </c>
      <c r="H217" s="21" t="str">
        <f aca="false">IF(AND($D217="Sortie",$B217&lt;&gt;"",$E217&lt;&gt;""),IFERROR($E217*INDEX(Produits!$E$5:$E$204,MATCH($B217,Produits!$A$5:$A$204,0)),""),"")</f>
        <v/>
      </c>
      <c r="I217" s="23"/>
    </row>
    <row r="218" customFormat="false" ht="15" hidden="false" customHeight="false" outlineLevel="0" collapsed="false">
      <c r="A218" s="27"/>
      <c r="B218" s="23"/>
      <c r="C218" s="26" t="str">
        <f aca="false">IF($B218="","",IFERROR(INDEX(Produits!$B$5:$B$204,MATCH($B218,Produits!$A$5:$A$204,0)),"Code inconnu"))</f>
        <v/>
      </c>
      <c r="D218" s="23"/>
      <c r="E218" s="24"/>
      <c r="F218" s="21" t="str">
        <f aca="false">IF(OR($B218="",$D218=""),"",IFERROR(IF($D218="Entrée",INDEX(Produits!$E$5:$E$204,MATCH($B218,Produits!$A$5:$A$204,0)),INDEX(Produits!$F$5:$F$204,MATCH($B218,Produits!$A$5:$A$204,0))),""))</f>
        <v/>
      </c>
      <c r="G218" s="21" t="str">
        <f aca="false">IF(OR($F218="",$E218=""),"",$E218*$F218)</f>
        <v/>
      </c>
      <c r="H218" s="21" t="str">
        <f aca="false">IF(AND($D218="Sortie",$B218&lt;&gt;"",$E218&lt;&gt;""),IFERROR($E218*INDEX(Produits!$E$5:$E$204,MATCH($B218,Produits!$A$5:$A$204,0)),""),"")</f>
        <v/>
      </c>
      <c r="I218" s="23"/>
    </row>
    <row r="219" customFormat="false" ht="15" hidden="false" customHeight="false" outlineLevel="0" collapsed="false">
      <c r="A219" s="27"/>
      <c r="B219" s="23"/>
      <c r="C219" s="26" t="str">
        <f aca="false">IF($B219="","",IFERROR(INDEX(Produits!$B$5:$B$204,MATCH($B219,Produits!$A$5:$A$204,0)),"Code inconnu"))</f>
        <v/>
      </c>
      <c r="D219" s="23"/>
      <c r="E219" s="24"/>
      <c r="F219" s="21" t="str">
        <f aca="false">IF(OR($B219="",$D219=""),"",IFERROR(IF($D219="Entrée",INDEX(Produits!$E$5:$E$204,MATCH($B219,Produits!$A$5:$A$204,0)),INDEX(Produits!$F$5:$F$204,MATCH($B219,Produits!$A$5:$A$204,0))),""))</f>
        <v/>
      </c>
      <c r="G219" s="21" t="str">
        <f aca="false">IF(OR($F219="",$E219=""),"",$E219*$F219)</f>
        <v/>
      </c>
      <c r="H219" s="21" t="str">
        <f aca="false">IF(AND($D219="Sortie",$B219&lt;&gt;"",$E219&lt;&gt;""),IFERROR($E219*INDEX(Produits!$E$5:$E$204,MATCH($B219,Produits!$A$5:$A$204,0)),""),"")</f>
        <v/>
      </c>
      <c r="I219" s="23"/>
    </row>
    <row r="220" customFormat="false" ht="15" hidden="false" customHeight="false" outlineLevel="0" collapsed="false">
      <c r="A220" s="27"/>
      <c r="B220" s="23"/>
      <c r="C220" s="26" t="str">
        <f aca="false">IF($B220="","",IFERROR(INDEX(Produits!$B$5:$B$204,MATCH($B220,Produits!$A$5:$A$204,0)),"Code inconnu"))</f>
        <v/>
      </c>
      <c r="D220" s="23"/>
      <c r="E220" s="24"/>
      <c r="F220" s="21" t="str">
        <f aca="false">IF(OR($B220="",$D220=""),"",IFERROR(IF($D220="Entrée",INDEX(Produits!$E$5:$E$204,MATCH($B220,Produits!$A$5:$A$204,0)),INDEX(Produits!$F$5:$F$204,MATCH($B220,Produits!$A$5:$A$204,0))),""))</f>
        <v/>
      </c>
      <c r="G220" s="21" t="str">
        <f aca="false">IF(OR($F220="",$E220=""),"",$E220*$F220)</f>
        <v/>
      </c>
      <c r="H220" s="21" t="str">
        <f aca="false">IF(AND($D220="Sortie",$B220&lt;&gt;"",$E220&lt;&gt;""),IFERROR($E220*INDEX(Produits!$E$5:$E$204,MATCH($B220,Produits!$A$5:$A$204,0)),""),"")</f>
        <v/>
      </c>
      <c r="I220" s="23"/>
    </row>
    <row r="221" customFormat="false" ht="15" hidden="false" customHeight="false" outlineLevel="0" collapsed="false">
      <c r="A221" s="27"/>
      <c r="B221" s="23"/>
      <c r="C221" s="26" t="str">
        <f aca="false">IF($B221="","",IFERROR(INDEX(Produits!$B$5:$B$204,MATCH($B221,Produits!$A$5:$A$204,0)),"Code inconnu"))</f>
        <v/>
      </c>
      <c r="D221" s="23"/>
      <c r="E221" s="24"/>
      <c r="F221" s="21" t="str">
        <f aca="false">IF(OR($B221="",$D221=""),"",IFERROR(IF($D221="Entrée",INDEX(Produits!$E$5:$E$204,MATCH($B221,Produits!$A$5:$A$204,0)),INDEX(Produits!$F$5:$F$204,MATCH($B221,Produits!$A$5:$A$204,0))),""))</f>
        <v/>
      </c>
      <c r="G221" s="21" t="str">
        <f aca="false">IF(OR($F221="",$E221=""),"",$E221*$F221)</f>
        <v/>
      </c>
      <c r="H221" s="21" t="str">
        <f aca="false">IF(AND($D221="Sortie",$B221&lt;&gt;"",$E221&lt;&gt;""),IFERROR($E221*INDEX(Produits!$E$5:$E$204,MATCH($B221,Produits!$A$5:$A$204,0)),""),"")</f>
        <v/>
      </c>
      <c r="I221" s="23"/>
    </row>
    <row r="222" customFormat="false" ht="15" hidden="false" customHeight="false" outlineLevel="0" collapsed="false">
      <c r="A222" s="27"/>
      <c r="B222" s="23"/>
      <c r="C222" s="26" t="str">
        <f aca="false">IF($B222="","",IFERROR(INDEX(Produits!$B$5:$B$204,MATCH($B222,Produits!$A$5:$A$204,0)),"Code inconnu"))</f>
        <v/>
      </c>
      <c r="D222" s="23"/>
      <c r="E222" s="24"/>
      <c r="F222" s="21" t="str">
        <f aca="false">IF(OR($B222="",$D222=""),"",IFERROR(IF($D222="Entrée",INDEX(Produits!$E$5:$E$204,MATCH($B222,Produits!$A$5:$A$204,0)),INDEX(Produits!$F$5:$F$204,MATCH($B222,Produits!$A$5:$A$204,0))),""))</f>
        <v/>
      </c>
      <c r="G222" s="21" t="str">
        <f aca="false">IF(OR($F222="",$E222=""),"",$E222*$F222)</f>
        <v/>
      </c>
      <c r="H222" s="21" t="str">
        <f aca="false">IF(AND($D222="Sortie",$B222&lt;&gt;"",$E222&lt;&gt;""),IFERROR($E222*INDEX(Produits!$E$5:$E$204,MATCH($B222,Produits!$A$5:$A$204,0)),""),"")</f>
        <v/>
      </c>
      <c r="I222" s="23"/>
    </row>
    <row r="223" customFormat="false" ht="15" hidden="false" customHeight="false" outlineLevel="0" collapsed="false">
      <c r="A223" s="27"/>
      <c r="B223" s="23"/>
      <c r="C223" s="26" t="str">
        <f aca="false">IF($B223="","",IFERROR(INDEX(Produits!$B$5:$B$204,MATCH($B223,Produits!$A$5:$A$204,0)),"Code inconnu"))</f>
        <v/>
      </c>
      <c r="D223" s="23"/>
      <c r="E223" s="24"/>
      <c r="F223" s="21" t="str">
        <f aca="false">IF(OR($B223="",$D223=""),"",IFERROR(IF($D223="Entrée",INDEX(Produits!$E$5:$E$204,MATCH($B223,Produits!$A$5:$A$204,0)),INDEX(Produits!$F$5:$F$204,MATCH($B223,Produits!$A$5:$A$204,0))),""))</f>
        <v/>
      </c>
      <c r="G223" s="21" t="str">
        <f aca="false">IF(OR($F223="",$E223=""),"",$E223*$F223)</f>
        <v/>
      </c>
      <c r="H223" s="21" t="str">
        <f aca="false">IF(AND($D223="Sortie",$B223&lt;&gt;"",$E223&lt;&gt;""),IFERROR($E223*INDEX(Produits!$E$5:$E$204,MATCH($B223,Produits!$A$5:$A$204,0)),""),"")</f>
        <v/>
      </c>
      <c r="I223" s="23"/>
    </row>
    <row r="224" customFormat="false" ht="15" hidden="false" customHeight="false" outlineLevel="0" collapsed="false">
      <c r="A224" s="27"/>
      <c r="B224" s="23"/>
      <c r="C224" s="26" t="str">
        <f aca="false">IF($B224="","",IFERROR(INDEX(Produits!$B$5:$B$204,MATCH($B224,Produits!$A$5:$A$204,0)),"Code inconnu"))</f>
        <v/>
      </c>
      <c r="D224" s="23"/>
      <c r="E224" s="24"/>
      <c r="F224" s="21" t="str">
        <f aca="false">IF(OR($B224="",$D224=""),"",IFERROR(IF($D224="Entrée",INDEX(Produits!$E$5:$E$204,MATCH($B224,Produits!$A$5:$A$204,0)),INDEX(Produits!$F$5:$F$204,MATCH($B224,Produits!$A$5:$A$204,0))),""))</f>
        <v/>
      </c>
      <c r="G224" s="21" t="str">
        <f aca="false">IF(OR($F224="",$E224=""),"",$E224*$F224)</f>
        <v/>
      </c>
      <c r="H224" s="21" t="str">
        <f aca="false">IF(AND($D224="Sortie",$B224&lt;&gt;"",$E224&lt;&gt;""),IFERROR($E224*INDEX(Produits!$E$5:$E$204,MATCH($B224,Produits!$A$5:$A$204,0)),""),"")</f>
        <v/>
      </c>
      <c r="I224" s="23"/>
    </row>
    <row r="225" customFormat="false" ht="15" hidden="false" customHeight="false" outlineLevel="0" collapsed="false">
      <c r="A225" s="27"/>
      <c r="B225" s="23"/>
      <c r="C225" s="26" t="str">
        <f aca="false">IF($B225="","",IFERROR(INDEX(Produits!$B$5:$B$204,MATCH($B225,Produits!$A$5:$A$204,0)),"Code inconnu"))</f>
        <v/>
      </c>
      <c r="D225" s="23"/>
      <c r="E225" s="24"/>
      <c r="F225" s="21" t="str">
        <f aca="false">IF(OR($B225="",$D225=""),"",IFERROR(IF($D225="Entrée",INDEX(Produits!$E$5:$E$204,MATCH($B225,Produits!$A$5:$A$204,0)),INDEX(Produits!$F$5:$F$204,MATCH($B225,Produits!$A$5:$A$204,0))),""))</f>
        <v/>
      </c>
      <c r="G225" s="21" t="str">
        <f aca="false">IF(OR($F225="",$E225=""),"",$E225*$F225)</f>
        <v/>
      </c>
      <c r="H225" s="21" t="str">
        <f aca="false">IF(AND($D225="Sortie",$B225&lt;&gt;"",$E225&lt;&gt;""),IFERROR($E225*INDEX(Produits!$E$5:$E$204,MATCH($B225,Produits!$A$5:$A$204,0)),""),"")</f>
        <v/>
      </c>
      <c r="I225" s="23"/>
    </row>
    <row r="226" customFormat="false" ht="15" hidden="false" customHeight="false" outlineLevel="0" collapsed="false">
      <c r="A226" s="27"/>
      <c r="B226" s="23"/>
      <c r="C226" s="26" t="str">
        <f aca="false">IF($B226="","",IFERROR(INDEX(Produits!$B$5:$B$204,MATCH($B226,Produits!$A$5:$A$204,0)),"Code inconnu"))</f>
        <v/>
      </c>
      <c r="D226" s="23"/>
      <c r="E226" s="24"/>
      <c r="F226" s="21" t="str">
        <f aca="false">IF(OR($B226="",$D226=""),"",IFERROR(IF($D226="Entrée",INDEX(Produits!$E$5:$E$204,MATCH($B226,Produits!$A$5:$A$204,0)),INDEX(Produits!$F$5:$F$204,MATCH($B226,Produits!$A$5:$A$204,0))),""))</f>
        <v/>
      </c>
      <c r="G226" s="21" t="str">
        <f aca="false">IF(OR($F226="",$E226=""),"",$E226*$F226)</f>
        <v/>
      </c>
      <c r="H226" s="21" t="str">
        <f aca="false">IF(AND($D226="Sortie",$B226&lt;&gt;"",$E226&lt;&gt;""),IFERROR($E226*INDEX(Produits!$E$5:$E$204,MATCH($B226,Produits!$A$5:$A$204,0)),""),"")</f>
        <v/>
      </c>
      <c r="I226" s="23"/>
    </row>
    <row r="227" customFormat="false" ht="15" hidden="false" customHeight="false" outlineLevel="0" collapsed="false">
      <c r="A227" s="27"/>
      <c r="B227" s="23"/>
      <c r="C227" s="26" t="str">
        <f aca="false">IF($B227="","",IFERROR(INDEX(Produits!$B$5:$B$204,MATCH($B227,Produits!$A$5:$A$204,0)),"Code inconnu"))</f>
        <v/>
      </c>
      <c r="D227" s="23"/>
      <c r="E227" s="24"/>
      <c r="F227" s="21" t="str">
        <f aca="false">IF(OR($B227="",$D227=""),"",IFERROR(IF($D227="Entrée",INDEX(Produits!$E$5:$E$204,MATCH($B227,Produits!$A$5:$A$204,0)),INDEX(Produits!$F$5:$F$204,MATCH($B227,Produits!$A$5:$A$204,0))),""))</f>
        <v/>
      </c>
      <c r="G227" s="21" t="str">
        <f aca="false">IF(OR($F227="",$E227=""),"",$E227*$F227)</f>
        <v/>
      </c>
      <c r="H227" s="21" t="str">
        <f aca="false">IF(AND($D227="Sortie",$B227&lt;&gt;"",$E227&lt;&gt;""),IFERROR($E227*INDEX(Produits!$E$5:$E$204,MATCH($B227,Produits!$A$5:$A$204,0)),""),"")</f>
        <v/>
      </c>
      <c r="I227" s="23"/>
    </row>
    <row r="228" customFormat="false" ht="15" hidden="false" customHeight="false" outlineLevel="0" collapsed="false">
      <c r="A228" s="27"/>
      <c r="B228" s="23"/>
      <c r="C228" s="26" t="str">
        <f aca="false">IF($B228="","",IFERROR(INDEX(Produits!$B$5:$B$204,MATCH($B228,Produits!$A$5:$A$204,0)),"Code inconnu"))</f>
        <v/>
      </c>
      <c r="D228" s="23"/>
      <c r="E228" s="24"/>
      <c r="F228" s="21" t="str">
        <f aca="false">IF(OR($B228="",$D228=""),"",IFERROR(IF($D228="Entrée",INDEX(Produits!$E$5:$E$204,MATCH($B228,Produits!$A$5:$A$204,0)),INDEX(Produits!$F$5:$F$204,MATCH($B228,Produits!$A$5:$A$204,0))),""))</f>
        <v/>
      </c>
      <c r="G228" s="21" t="str">
        <f aca="false">IF(OR($F228="",$E228=""),"",$E228*$F228)</f>
        <v/>
      </c>
      <c r="H228" s="21" t="str">
        <f aca="false">IF(AND($D228="Sortie",$B228&lt;&gt;"",$E228&lt;&gt;""),IFERROR($E228*INDEX(Produits!$E$5:$E$204,MATCH($B228,Produits!$A$5:$A$204,0)),""),"")</f>
        <v/>
      </c>
      <c r="I228" s="23"/>
    </row>
    <row r="229" customFormat="false" ht="15" hidden="false" customHeight="false" outlineLevel="0" collapsed="false">
      <c r="A229" s="27"/>
      <c r="B229" s="23"/>
      <c r="C229" s="26" t="str">
        <f aca="false">IF($B229="","",IFERROR(INDEX(Produits!$B$5:$B$204,MATCH($B229,Produits!$A$5:$A$204,0)),"Code inconnu"))</f>
        <v/>
      </c>
      <c r="D229" s="23"/>
      <c r="E229" s="24"/>
      <c r="F229" s="21" t="str">
        <f aca="false">IF(OR($B229="",$D229=""),"",IFERROR(IF($D229="Entrée",INDEX(Produits!$E$5:$E$204,MATCH($B229,Produits!$A$5:$A$204,0)),INDEX(Produits!$F$5:$F$204,MATCH($B229,Produits!$A$5:$A$204,0))),""))</f>
        <v/>
      </c>
      <c r="G229" s="21" t="str">
        <f aca="false">IF(OR($F229="",$E229=""),"",$E229*$F229)</f>
        <v/>
      </c>
      <c r="H229" s="21" t="str">
        <f aca="false">IF(AND($D229="Sortie",$B229&lt;&gt;"",$E229&lt;&gt;""),IFERROR($E229*INDEX(Produits!$E$5:$E$204,MATCH($B229,Produits!$A$5:$A$204,0)),""),"")</f>
        <v/>
      </c>
      <c r="I229" s="23"/>
    </row>
    <row r="230" customFormat="false" ht="15" hidden="false" customHeight="false" outlineLevel="0" collapsed="false">
      <c r="A230" s="27"/>
      <c r="B230" s="23"/>
      <c r="C230" s="26" t="str">
        <f aca="false">IF($B230="","",IFERROR(INDEX(Produits!$B$5:$B$204,MATCH($B230,Produits!$A$5:$A$204,0)),"Code inconnu"))</f>
        <v/>
      </c>
      <c r="D230" s="23"/>
      <c r="E230" s="24"/>
      <c r="F230" s="21" t="str">
        <f aca="false">IF(OR($B230="",$D230=""),"",IFERROR(IF($D230="Entrée",INDEX(Produits!$E$5:$E$204,MATCH($B230,Produits!$A$5:$A$204,0)),INDEX(Produits!$F$5:$F$204,MATCH($B230,Produits!$A$5:$A$204,0))),""))</f>
        <v/>
      </c>
      <c r="G230" s="21" t="str">
        <f aca="false">IF(OR($F230="",$E230=""),"",$E230*$F230)</f>
        <v/>
      </c>
      <c r="H230" s="21" t="str">
        <f aca="false">IF(AND($D230="Sortie",$B230&lt;&gt;"",$E230&lt;&gt;""),IFERROR($E230*INDEX(Produits!$E$5:$E$204,MATCH($B230,Produits!$A$5:$A$204,0)),""),"")</f>
        <v/>
      </c>
      <c r="I230" s="23"/>
    </row>
    <row r="231" customFormat="false" ht="15" hidden="false" customHeight="false" outlineLevel="0" collapsed="false">
      <c r="A231" s="27"/>
      <c r="B231" s="23"/>
      <c r="C231" s="26" t="str">
        <f aca="false">IF($B231="","",IFERROR(INDEX(Produits!$B$5:$B$204,MATCH($B231,Produits!$A$5:$A$204,0)),"Code inconnu"))</f>
        <v/>
      </c>
      <c r="D231" s="23"/>
      <c r="E231" s="24"/>
      <c r="F231" s="21" t="str">
        <f aca="false">IF(OR($B231="",$D231=""),"",IFERROR(IF($D231="Entrée",INDEX(Produits!$E$5:$E$204,MATCH($B231,Produits!$A$5:$A$204,0)),INDEX(Produits!$F$5:$F$204,MATCH($B231,Produits!$A$5:$A$204,0))),""))</f>
        <v/>
      </c>
      <c r="G231" s="21" t="str">
        <f aca="false">IF(OR($F231="",$E231=""),"",$E231*$F231)</f>
        <v/>
      </c>
      <c r="H231" s="21" t="str">
        <f aca="false">IF(AND($D231="Sortie",$B231&lt;&gt;"",$E231&lt;&gt;""),IFERROR($E231*INDEX(Produits!$E$5:$E$204,MATCH($B231,Produits!$A$5:$A$204,0)),""),"")</f>
        <v/>
      </c>
      <c r="I231" s="23"/>
    </row>
    <row r="232" customFormat="false" ht="15" hidden="false" customHeight="false" outlineLevel="0" collapsed="false">
      <c r="A232" s="27"/>
      <c r="B232" s="23"/>
      <c r="C232" s="26" t="str">
        <f aca="false">IF($B232="","",IFERROR(INDEX(Produits!$B$5:$B$204,MATCH($B232,Produits!$A$5:$A$204,0)),"Code inconnu"))</f>
        <v/>
      </c>
      <c r="D232" s="23"/>
      <c r="E232" s="24"/>
      <c r="F232" s="21" t="str">
        <f aca="false">IF(OR($B232="",$D232=""),"",IFERROR(IF($D232="Entrée",INDEX(Produits!$E$5:$E$204,MATCH($B232,Produits!$A$5:$A$204,0)),INDEX(Produits!$F$5:$F$204,MATCH($B232,Produits!$A$5:$A$204,0))),""))</f>
        <v/>
      </c>
      <c r="G232" s="21" t="str">
        <f aca="false">IF(OR($F232="",$E232=""),"",$E232*$F232)</f>
        <v/>
      </c>
      <c r="H232" s="21" t="str">
        <f aca="false">IF(AND($D232="Sortie",$B232&lt;&gt;"",$E232&lt;&gt;""),IFERROR($E232*INDEX(Produits!$E$5:$E$204,MATCH($B232,Produits!$A$5:$A$204,0)),""),"")</f>
        <v/>
      </c>
      <c r="I232" s="23"/>
    </row>
    <row r="233" customFormat="false" ht="15" hidden="false" customHeight="false" outlineLevel="0" collapsed="false">
      <c r="A233" s="27"/>
      <c r="B233" s="23"/>
      <c r="C233" s="26" t="str">
        <f aca="false">IF($B233="","",IFERROR(INDEX(Produits!$B$5:$B$204,MATCH($B233,Produits!$A$5:$A$204,0)),"Code inconnu"))</f>
        <v/>
      </c>
      <c r="D233" s="23"/>
      <c r="E233" s="24"/>
      <c r="F233" s="21" t="str">
        <f aca="false">IF(OR($B233="",$D233=""),"",IFERROR(IF($D233="Entrée",INDEX(Produits!$E$5:$E$204,MATCH($B233,Produits!$A$5:$A$204,0)),INDEX(Produits!$F$5:$F$204,MATCH($B233,Produits!$A$5:$A$204,0))),""))</f>
        <v/>
      </c>
      <c r="G233" s="21" t="str">
        <f aca="false">IF(OR($F233="",$E233=""),"",$E233*$F233)</f>
        <v/>
      </c>
      <c r="H233" s="21" t="str">
        <f aca="false">IF(AND($D233="Sortie",$B233&lt;&gt;"",$E233&lt;&gt;""),IFERROR($E233*INDEX(Produits!$E$5:$E$204,MATCH($B233,Produits!$A$5:$A$204,0)),""),"")</f>
        <v/>
      </c>
      <c r="I233" s="23"/>
    </row>
    <row r="234" customFormat="false" ht="15" hidden="false" customHeight="false" outlineLevel="0" collapsed="false">
      <c r="A234" s="27"/>
      <c r="B234" s="23"/>
      <c r="C234" s="26" t="str">
        <f aca="false">IF($B234="","",IFERROR(INDEX(Produits!$B$5:$B$204,MATCH($B234,Produits!$A$5:$A$204,0)),"Code inconnu"))</f>
        <v/>
      </c>
      <c r="D234" s="23"/>
      <c r="E234" s="24"/>
      <c r="F234" s="21" t="str">
        <f aca="false">IF(OR($B234="",$D234=""),"",IFERROR(IF($D234="Entrée",INDEX(Produits!$E$5:$E$204,MATCH($B234,Produits!$A$5:$A$204,0)),INDEX(Produits!$F$5:$F$204,MATCH($B234,Produits!$A$5:$A$204,0))),""))</f>
        <v/>
      </c>
      <c r="G234" s="21" t="str">
        <f aca="false">IF(OR($F234="",$E234=""),"",$E234*$F234)</f>
        <v/>
      </c>
      <c r="H234" s="21" t="str">
        <f aca="false">IF(AND($D234="Sortie",$B234&lt;&gt;"",$E234&lt;&gt;""),IFERROR($E234*INDEX(Produits!$E$5:$E$204,MATCH($B234,Produits!$A$5:$A$204,0)),""),"")</f>
        <v/>
      </c>
      <c r="I234" s="23"/>
    </row>
    <row r="235" customFormat="false" ht="15" hidden="false" customHeight="false" outlineLevel="0" collapsed="false">
      <c r="A235" s="27"/>
      <c r="B235" s="23"/>
      <c r="C235" s="26" t="str">
        <f aca="false">IF($B235="","",IFERROR(INDEX(Produits!$B$5:$B$204,MATCH($B235,Produits!$A$5:$A$204,0)),"Code inconnu"))</f>
        <v/>
      </c>
      <c r="D235" s="23"/>
      <c r="E235" s="24"/>
      <c r="F235" s="21" t="str">
        <f aca="false">IF(OR($B235="",$D235=""),"",IFERROR(IF($D235="Entrée",INDEX(Produits!$E$5:$E$204,MATCH($B235,Produits!$A$5:$A$204,0)),INDEX(Produits!$F$5:$F$204,MATCH($B235,Produits!$A$5:$A$204,0))),""))</f>
        <v/>
      </c>
      <c r="G235" s="21" t="str">
        <f aca="false">IF(OR($F235="",$E235=""),"",$E235*$F235)</f>
        <v/>
      </c>
      <c r="H235" s="21" t="str">
        <f aca="false">IF(AND($D235="Sortie",$B235&lt;&gt;"",$E235&lt;&gt;""),IFERROR($E235*INDEX(Produits!$E$5:$E$204,MATCH($B235,Produits!$A$5:$A$204,0)),""),"")</f>
        <v/>
      </c>
      <c r="I235" s="23"/>
    </row>
    <row r="236" customFormat="false" ht="15" hidden="false" customHeight="false" outlineLevel="0" collapsed="false">
      <c r="A236" s="27"/>
      <c r="B236" s="23"/>
      <c r="C236" s="26" t="str">
        <f aca="false">IF($B236="","",IFERROR(INDEX(Produits!$B$5:$B$204,MATCH($B236,Produits!$A$5:$A$204,0)),"Code inconnu"))</f>
        <v/>
      </c>
      <c r="D236" s="23"/>
      <c r="E236" s="24"/>
      <c r="F236" s="21" t="str">
        <f aca="false">IF(OR($B236="",$D236=""),"",IFERROR(IF($D236="Entrée",INDEX(Produits!$E$5:$E$204,MATCH($B236,Produits!$A$5:$A$204,0)),INDEX(Produits!$F$5:$F$204,MATCH($B236,Produits!$A$5:$A$204,0))),""))</f>
        <v/>
      </c>
      <c r="G236" s="21" t="str">
        <f aca="false">IF(OR($F236="",$E236=""),"",$E236*$F236)</f>
        <v/>
      </c>
      <c r="H236" s="21" t="str">
        <f aca="false">IF(AND($D236="Sortie",$B236&lt;&gt;"",$E236&lt;&gt;""),IFERROR($E236*INDEX(Produits!$E$5:$E$204,MATCH($B236,Produits!$A$5:$A$204,0)),""),"")</f>
        <v/>
      </c>
      <c r="I236" s="23"/>
    </row>
    <row r="237" customFormat="false" ht="15" hidden="false" customHeight="false" outlineLevel="0" collapsed="false">
      <c r="A237" s="27"/>
      <c r="B237" s="23"/>
      <c r="C237" s="26" t="str">
        <f aca="false">IF($B237="","",IFERROR(INDEX(Produits!$B$5:$B$204,MATCH($B237,Produits!$A$5:$A$204,0)),"Code inconnu"))</f>
        <v/>
      </c>
      <c r="D237" s="23"/>
      <c r="E237" s="24"/>
      <c r="F237" s="21" t="str">
        <f aca="false">IF(OR($B237="",$D237=""),"",IFERROR(IF($D237="Entrée",INDEX(Produits!$E$5:$E$204,MATCH($B237,Produits!$A$5:$A$204,0)),INDEX(Produits!$F$5:$F$204,MATCH($B237,Produits!$A$5:$A$204,0))),""))</f>
        <v/>
      </c>
      <c r="G237" s="21" t="str">
        <f aca="false">IF(OR($F237="",$E237=""),"",$E237*$F237)</f>
        <v/>
      </c>
      <c r="H237" s="21" t="str">
        <f aca="false">IF(AND($D237="Sortie",$B237&lt;&gt;"",$E237&lt;&gt;""),IFERROR($E237*INDEX(Produits!$E$5:$E$204,MATCH($B237,Produits!$A$5:$A$204,0)),""),"")</f>
        <v/>
      </c>
      <c r="I237" s="23"/>
    </row>
    <row r="238" customFormat="false" ht="15" hidden="false" customHeight="false" outlineLevel="0" collapsed="false">
      <c r="A238" s="27"/>
      <c r="B238" s="23"/>
      <c r="C238" s="26" t="str">
        <f aca="false">IF($B238="","",IFERROR(INDEX(Produits!$B$5:$B$204,MATCH($B238,Produits!$A$5:$A$204,0)),"Code inconnu"))</f>
        <v/>
      </c>
      <c r="D238" s="23"/>
      <c r="E238" s="24"/>
      <c r="F238" s="21" t="str">
        <f aca="false">IF(OR($B238="",$D238=""),"",IFERROR(IF($D238="Entrée",INDEX(Produits!$E$5:$E$204,MATCH($B238,Produits!$A$5:$A$204,0)),INDEX(Produits!$F$5:$F$204,MATCH($B238,Produits!$A$5:$A$204,0))),""))</f>
        <v/>
      </c>
      <c r="G238" s="21" t="str">
        <f aca="false">IF(OR($F238="",$E238=""),"",$E238*$F238)</f>
        <v/>
      </c>
      <c r="H238" s="21" t="str">
        <f aca="false">IF(AND($D238="Sortie",$B238&lt;&gt;"",$E238&lt;&gt;""),IFERROR($E238*INDEX(Produits!$E$5:$E$204,MATCH($B238,Produits!$A$5:$A$204,0)),""),"")</f>
        <v/>
      </c>
      <c r="I238" s="23"/>
    </row>
    <row r="239" customFormat="false" ht="15" hidden="false" customHeight="false" outlineLevel="0" collapsed="false">
      <c r="A239" s="27"/>
      <c r="B239" s="23"/>
      <c r="C239" s="26" t="str">
        <f aca="false">IF($B239="","",IFERROR(INDEX(Produits!$B$5:$B$204,MATCH($B239,Produits!$A$5:$A$204,0)),"Code inconnu"))</f>
        <v/>
      </c>
      <c r="D239" s="23"/>
      <c r="E239" s="24"/>
      <c r="F239" s="21" t="str">
        <f aca="false">IF(OR($B239="",$D239=""),"",IFERROR(IF($D239="Entrée",INDEX(Produits!$E$5:$E$204,MATCH($B239,Produits!$A$5:$A$204,0)),INDEX(Produits!$F$5:$F$204,MATCH($B239,Produits!$A$5:$A$204,0))),""))</f>
        <v/>
      </c>
      <c r="G239" s="21" t="str">
        <f aca="false">IF(OR($F239="",$E239=""),"",$E239*$F239)</f>
        <v/>
      </c>
      <c r="H239" s="21" t="str">
        <f aca="false">IF(AND($D239="Sortie",$B239&lt;&gt;"",$E239&lt;&gt;""),IFERROR($E239*INDEX(Produits!$E$5:$E$204,MATCH($B239,Produits!$A$5:$A$204,0)),""),"")</f>
        <v/>
      </c>
      <c r="I239" s="23"/>
    </row>
    <row r="240" customFormat="false" ht="15" hidden="false" customHeight="false" outlineLevel="0" collapsed="false">
      <c r="A240" s="27"/>
      <c r="B240" s="23"/>
      <c r="C240" s="26" t="str">
        <f aca="false">IF($B240="","",IFERROR(INDEX(Produits!$B$5:$B$204,MATCH($B240,Produits!$A$5:$A$204,0)),"Code inconnu"))</f>
        <v/>
      </c>
      <c r="D240" s="23"/>
      <c r="E240" s="24"/>
      <c r="F240" s="21" t="str">
        <f aca="false">IF(OR($B240="",$D240=""),"",IFERROR(IF($D240="Entrée",INDEX(Produits!$E$5:$E$204,MATCH($B240,Produits!$A$5:$A$204,0)),INDEX(Produits!$F$5:$F$204,MATCH($B240,Produits!$A$5:$A$204,0))),""))</f>
        <v/>
      </c>
      <c r="G240" s="21" t="str">
        <f aca="false">IF(OR($F240="",$E240=""),"",$E240*$F240)</f>
        <v/>
      </c>
      <c r="H240" s="21" t="str">
        <f aca="false">IF(AND($D240="Sortie",$B240&lt;&gt;"",$E240&lt;&gt;""),IFERROR($E240*INDEX(Produits!$E$5:$E$204,MATCH($B240,Produits!$A$5:$A$204,0)),""),"")</f>
        <v/>
      </c>
      <c r="I240" s="23"/>
    </row>
    <row r="241" customFormat="false" ht="15" hidden="false" customHeight="false" outlineLevel="0" collapsed="false">
      <c r="A241" s="27"/>
      <c r="B241" s="23"/>
      <c r="C241" s="26" t="str">
        <f aca="false">IF($B241="","",IFERROR(INDEX(Produits!$B$5:$B$204,MATCH($B241,Produits!$A$5:$A$204,0)),"Code inconnu"))</f>
        <v/>
      </c>
      <c r="D241" s="23"/>
      <c r="E241" s="24"/>
      <c r="F241" s="21" t="str">
        <f aca="false">IF(OR($B241="",$D241=""),"",IFERROR(IF($D241="Entrée",INDEX(Produits!$E$5:$E$204,MATCH($B241,Produits!$A$5:$A$204,0)),INDEX(Produits!$F$5:$F$204,MATCH($B241,Produits!$A$5:$A$204,0))),""))</f>
        <v/>
      </c>
      <c r="G241" s="21" t="str">
        <f aca="false">IF(OR($F241="",$E241=""),"",$E241*$F241)</f>
        <v/>
      </c>
      <c r="H241" s="21" t="str">
        <f aca="false">IF(AND($D241="Sortie",$B241&lt;&gt;"",$E241&lt;&gt;""),IFERROR($E241*INDEX(Produits!$E$5:$E$204,MATCH($B241,Produits!$A$5:$A$204,0)),""),"")</f>
        <v/>
      </c>
      <c r="I241" s="23"/>
    </row>
    <row r="242" customFormat="false" ht="15" hidden="false" customHeight="false" outlineLevel="0" collapsed="false">
      <c r="A242" s="27"/>
      <c r="B242" s="23"/>
      <c r="C242" s="26" t="str">
        <f aca="false">IF($B242="","",IFERROR(INDEX(Produits!$B$5:$B$204,MATCH($B242,Produits!$A$5:$A$204,0)),"Code inconnu"))</f>
        <v/>
      </c>
      <c r="D242" s="23"/>
      <c r="E242" s="24"/>
      <c r="F242" s="21" t="str">
        <f aca="false">IF(OR($B242="",$D242=""),"",IFERROR(IF($D242="Entrée",INDEX(Produits!$E$5:$E$204,MATCH($B242,Produits!$A$5:$A$204,0)),INDEX(Produits!$F$5:$F$204,MATCH($B242,Produits!$A$5:$A$204,0))),""))</f>
        <v/>
      </c>
      <c r="G242" s="21" t="str">
        <f aca="false">IF(OR($F242="",$E242=""),"",$E242*$F242)</f>
        <v/>
      </c>
      <c r="H242" s="21" t="str">
        <f aca="false">IF(AND($D242="Sortie",$B242&lt;&gt;"",$E242&lt;&gt;""),IFERROR($E242*INDEX(Produits!$E$5:$E$204,MATCH($B242,Produits!$A$5:$A$204,0)),""),"")</f>
        <v/>
      </c>
      <c r="I242" s="23"/>
    </row>
    <row r="243" customFormat="false" ht="15" hidden="false" customHeight="false" outlineLevel="0" collapsed="false">
      <c r="A243" s="27"/>
      <c r="B243" s="23"/>
      <c r="C243" s="26" t="str">
        <f aca="false">IF($B243="","",IFERROR(INDEX(Produits!$B$5:$B$204,MATCH($B243,Produits!$A$5:$A$204,0)),"Code inconnu"))</f>
        <v/>
      </c>
      <c r="D243" s="23"/>
      <c r="E243" s="24"/>
      <c r="F243" s="21" t="str">
        <f aca="false">IF(OR($B243="",$D243=""),"",IFERROR(IF($D243="Entrée",INDEX(Produits!$E$5:$E$204,MATCH($B243,Produits!$A$5:$A$204,0)),INDEX(Produits!$F$5:$F$204,MATCH($B243,Produits!$A$5:$A$204,0))),""))</f>
        <v/>
      </c>
      <c r="G243" s="21" t="str">
        <f aca="false">IF(OR($F243="",$E243=""),"",$E243*$F243)</f>
        <v/>
      </c>
      <c r="H243" s="21" t="str">
        <f aca="false">IF(AND($D243="Sortie",$B243&lt;&gt;"",$E243&lt;&gt;""),IFERROR($E243*INDEX(Produits!$E$5:$E$204,MATCH($B243,Produits!$A$5:$A$204,0)),""),"")</f>
        <v/>
      </c>
      <c r="I243" s="23"/>
    </row>
    <row r="244" customFormat="false" ht="15" hidden="false" customHeight="false" outlineLevel="0" collapsed="false">
      <c r="A244" s="27"/>
      <c r="B244" s="23"/>
      <c r="C244" s="26" t="str">
        <f aca="false">IF($B244="","",IFERROR(INDEX(Produits!$B$5:$B$204,MATCH($B244,Produits!$A$5:$A$204,0)),"Code inconnu"))</f>
        <v/>
      </c>
      <c r="D244" s="23"/>
      <c r="E244" s="24"/>
      <c r="F244" s="21" t="str">
        <f aca="false">IF(OR($B244="",$D244=""),"",IFERROR(IF($D244="Entrée",INDEX(Produits!$E$5:$E$204,MATCH($B244,Produits!$A$5:$A$204,0)),INDEX(Produits!$F$5:$F$204,MATCH($B244,Produits!$A$5:$A$204,0))),""))</f>
        <v/>
      </c>
      <c r="G244" s="21" t="str">
        <f aca="false">IF(OR($F244="",$E244=""),"",$E244*$F244)</f>
        <v/>
      </c>
      <c r="H244" s="21" t="str">
        <f aca="false">IF(AND($D244="Sortie",$B244&lt;&gt;"",$E244&lt;&gt;""),IFERROR($E244*INDEX(Produits!$E$5:$E$204,MATCH($B244,Produits!$A$5:$A$204,0)),""),"")</f>
        <v/>
      </c>
      <c r="I244" s="23"/>
    </row>
    <row r="245" customFormat="false" ht="15" hidden="false" customHeight="false" outlineLevel="0" collapsed="false">
      <c r="A245" s="27"/>
      <c r="B245" s="23"/>
      <c r="C245" s="26" t="str">
        <f aca="false">IF($B245="","",IFERROR(INDEX(Produits!$B$5:$B$204,MATCH($B245,Produits!$A$5:$A$204,0)),"Code inconnu"))</f>
        <v/>
      </c>
      <c r="D245" s="23"/>
      <c r="E245" s="24"/>
      <c r="F245" s="21" t="str">
        <f aca="false">IF(OR($B245="",$D245=""),"",IFERROR(IF($D245="Entrée",INDEX(Produits!$E$5:$E$204,MATCH($B245,Produits!$A$5:$A$204,0)),INDEX(Produits!$F$5:$F$204,MATCH($B245,Produits!$A$5:$A$204,0))),""))</f>
        <v/>
      </c>
      <c r="G245" s="21" t="str">
        <f aca="false">IF(OR($F245="",$E245=""),"",$E245*$F245)</f>
        <v/>
      </c>
      <c r="H245" s="21" t="str">
        <f aca="false">IF(AND($D245="Sortie",$B245&lt;&gt;"",$E245&lt;&gt;""),IFERROR($E245*INDEX(Produits!$E$5:$E$204,MATCH($B245,Produits!$A$5:$A$204,0)),""),"")</f>
        <v/>
      </c>
      <c r="I245" s="23"/>
    </row>
    <row r="246" customFormat="false" ht="15" hidden="false" customHeight="false" outlineLevel="0" collapsed="false">
      <c r="A246" s="27"/>
      <c r="B246" s="23"/>
      <c r="C246" s="26" t="str">
        <f aca="false">IF($B246="","",IFERROR(INDEX(Produits!$B$5:$B$204,MATCH($B246,Produits!$A$5:$A$204,0)),"Code inconnu"))</f>
        <v/>
      </c>
      <c r="D246" s="23"/>
      <c r="E246" s="24"/>
      <c r="F246" s="21" t="str">
        <f aca="false">IF(OR($B246="",$D246=""),"",IFERROR(IF($D246="Entrée",INDEX(Produits!$E$5:$E$204,MATCH($B246,Produits!$A$5:$A$204,0)),INDEX(Produits!$F$5:$F$204,MATCH($B246,Produits!$A$5:$A$204,0))),""))</f>
        <v/>
      </c>
      <c r="G246" s="21" t="str">
        <f aca="false">IF(OR($F246="",$E246=""),"",$E246*$F246)</f>
        <v/>
      </c>
      <c r="H246" s="21" t="str">
        <f aca="false">IF(AND($D246="Sortie",$B246&lt;&gt;"",$E246&lt;&gt;""),IFERROR($E246*INDEX(Produits!$E$5:$E$204,MATCH($B246,Produits!$A$5:$A$204,0)),""),"")</f>
        <v/>
      </c>
      <c r="I246" s="23"/>
    </row>
    <row r="247" customFormat="false" ht="15" hidden="false" customHeight="false" outlineLevel="0" collapsed="false">
      <c r="A247" s="27"/>
      <c r="B247" s="23"/>
      <c r="C247" s="26" t="str">
        <f aca="false">IF($B247="","",IFERROR(INDEX(Produits!$B$5:$B$204,MATCH($B247,Produits!$A$5:$A$204,0)),"Code inconnu"))</f>
        <v/>
      </c>
      <c r="D247" s="23"/>
      <c r="E247" s="24"/>
      <c r="F247" s="21" t="str">
        <f aca="false">IF(OR($B247="",$D247=""),"",IFERROR(IF($D247="Entrée",INDEX(Produits!$E$5:$E$204,MATCH($B247,Produits!$A$5:$A$204,0)),INDEX(Produits!$F$5:$F$204,MATCH($B247,Produits!$A$5:$A$204,0))),""))</f>
        <v/>
      </c>
      <c r="G247" s="21" t="str">
        <f aca="false">IF(OR($F247="",$E247=""),"",$E247*$F247)</f>
        <v/>
      </c>
      <c r="H247" s="21" t="str">
        <f aca="false">IF(AND($D247="Sortie",$B247&lt;&gt;"",$E247&lt;&gt;""),IFERROR($E247*INDEX(Produits!$E$5:$E$204,MATCH($B247,Produits!$A$5:$A$204,0)),""),"")</f>
        <v/>
      </c>
      <c r="I247" s="23"/>
    </row>
    <row r="248" customFormat="false" ht="15" hidden="false" customHeight="false" outlineLevel="0" collapsed="false">
      <c r="A248" s="27"/>
      <c r="B248" s="23"/>
      <c r="C248" s="26" t="str">
        <f aca="false">IF($B248="","",IFERROR(INDEX(Produits!$B$5:$B$204,MATCH($B248,Produits!$A$5:$A$204,0)),"Code inconnu"))</f>
        <v/>
      </c>
      <c r="D248" s="23"/>
      <c r="E248" s="24"/>
      <c r="F248" s="21" t="str">
        <f aca="false">IF(OR($B248="",$D248=""),"",IFERROR(IF($D248="Entrée",INDEX(Produits!$E$5:$E$204,MATCH($B248,Produits!$A$5:$A$204,0)),INDEX(Produits!$F$5:$F$204,MATCH($B248,Produits!$A$5:$A$204,0))),""))</f>
        <v/>
      </c>
      <c r="G248" s="21" t="str">
        <f aca="false">IF(OR($F248="",$E248=""),"",$E248*$F248)</f>
        <v/>
      </c>
      <c r="H248" s="21" t="str">
        <f aca="false">IF(AND($D248="Sortie",$B248&lt;&gt;"",$E248&lt;&gt;""),IFERROR($E248*INDEX(Produits!$E$5:$E$204,MATCH($B248,Produits!$A$5:$A$204,0)),""),"")</f>
        <v/>
      </c>
      <c r="I248" s="23"/>
    </row>
    <row r="249" customFormat="false" ht="15" hidden="false" customHeight="false" outlineLevel="0" collapsed="false">
      <c r="A249" s="27"/>
      <c r="B249" s="23"/>
      <c r="C249" s="26" t="str">
        <f aca="false">IF($B249="","",IFERROR(INDEX(Produits!$B$5:$B$204,MATCH($B249,Produits!$A$5:$A$204,0)),"Code inconnu"))</f>
        <v/>
      </c>
      <c r="D249" s="23"/>
      <c r="E249" s="24"/>
      <c r="F249" s="21" t="str">
        <f aca="false">IF(OR($B249="",$D249=""),"",IFERROR(IF($D249="Entrée",INDEX(Produits!$E$5:$E$204,MATCH($B249,Produits!$A$5:$A$204,0)),INDEX(Produits!$F$5:$F$204,MATCH($B249,Produits!$A$5:$A$204,0))),""))</f>
        <v/>
      </c>
      <c r="G249" s="21" t="str">
        <f aca="false">IF(OR($F249="",$E249=""),"",$E249*$F249)</f>
        <v/>
      </c>
      <c r="H249" s="21" t="str">
        <f aca="false">IF(AND($D249="Sortie",$B249&lt;&gt;"",$E249&lt;&gt;""),IFERROR($E249*INDEX(Produits!$E$5:$E$204,MATCH($B249,Produits!$A$5:$A$204,0)),""),"")</f>
        <v/>
      </c>
      <c r="I249" s="23"/>
    </row>
    <row r="250" customFormat="false" ht="15" hidden="false" customHeight="false" outlineLevel="0" collapsed="false">
      <c r="A250" s="27"/>
      <c r="B250" s="23"/>
      <c r="C250" s="26" t="str">
        <f aca="false">IF($B250="","",IFERROR(INDEX(Produits!$B$5:$B$204,MATCH($B250,Produits!$A$5:$A$204,0)),"Code inconnu"))</f>
        <v/>
      </c>
      <c r="D250" s="23"/>
      <c r="E250" s="24"/>
      <c r="F250" s="21" t="str">
        <f aca="false">IF(OR($B250="",$D250=""),"",IFERROR(IF($D250="Entrée",INDEX(Produits!$E$5:$E$204,MATCH($B250,Produits!$A$5:$A$204,0)),INDEX(Produits!$F$5:$F$204,MATCH($B250,Produits!$A$5:$A$204,0))),""))</f>
        <v/>
      </c>
      <c r="G250" s="21" t="str">
        <f aca="false">IF(OR($F250="",$E250=""),"",$E250*$F250)</f>
        <v/>
      </c>
      <c r="H250" s="21" t="str">
        <f aca="false">IF(AND($D250="Sortie",$B250&lt;&gt;"",$E250&lt;&gt;""),IFERROR($E250*INDEX(Produits!$E$5:$E$204,MATCH($B250,Produits!$A$5:$A$204,0)),""),"")</f>
        <v/>
      </c>
      <c r="I250" s="23"/>
    </row>
    <row r="251" customFormat="false" ht="15" hidden="false" customHeight="false" outlineLevel="0" collapsed="false">
      <c r="A251" s="27"/>
      <c r="B251" s="23"/>
      <c r="C251" s="26" t="str">
        <f aca="false">IF($B251="","",IFERROR(INDEX(Produits!$B$5:$B$204,MATCH($B251,Produits!$A$5:$A$204,0)),"Code inconnu"))</f>
        <v/>
      </c>
      <c r="D251" s="23"/>
      <c r="E251" s="24"/>
      <c r="F251" s="21" t="str">
        <f aca="false">IF(OR($B251="",$D251=""),"",IFERROR(IF($D251="Entrée",INDEX(Produits!$E$5:$E$204,MATCH($B251,Produits!$A$5:$A$204,0)),INDEX(Produits!$F$5:$F$204,MATCH($B251,Produits!$A$5:$A$204,0))),""))</f>
        <v/>
      </c>
      <c r="G251" s="21" t="str">
        <f aca="false">IF(OR($F251="",$E251=""),"",$E251*$F251)</f>
        <v/>
      </c>
      <c r="H251" s="21" t="str">
        <f aca="false">IF(AND($D251="Sortie",$B251&lt;&gt;"",$E251&lt;&gt;""),IFERROR($E251*INDEX(Produits!$E$5:$E$204,MATCH($B251,Produits!$A$5:$A$204,0)),""),"")</f>
        <v/>
      </c>
      <c r="I251" s="23"/>
    </row>
    <row r="252" customFormat="false" ht="15" hidden="false" customHeight="false" outlineLevel="0" collapsed="false">
      <c r="A252" s="27"/>
      <c r="B252" s="23"/>
      <c r="C252" s="26" t="str">
        <f aca="false">IF($B252="","",IFERROR(INDEX(Produits!$B$5:$B$204,MATCH($B252,Produits!$A$5:$A$204,0)),"Code inconnu"))</f>
        <v/>
      </c>
      <c r="D252" s="23"/>
      <c r="E252" s="24"/>
      <c r="F252" s="21" t="str">
        <f aca="false">IF(OR($B252="",$D252=""),"",IFERROR(IF($D252="Entrée",INDEX(Produits!$E$5:$E$204,MATCH($B252,Produits!$A$5:$A$204,0)),INDEX(Produits!$F$5:$F$204,MATCH($B252,Produits!$A$5:$A$204,0))),""))</f>
        <v/>
      </c>
      <c r="G252" s="21" t="str">
        <f aca="false">IF(OR($F252="",$E252=""),"",$E252*$F252)</f>
        <v/>
      </c>
      <c r="H252" s="21" t="str">
        <f aca="false">IF(AND($D252="Sortie",$B252&lt;&gt;"",$E252&lt;&gt;""),IFERROR($E252*INDEX(Produits!$E$5:$E$204,MATCH($B252,Produits!$A$5:$A$204,0)),""),"")</f>
        <v/>
      </c>
      <c r="I252" s="23"/>
    </row>
    <row r="253" customFormat="false" ht="15" hidden="false" customHeight="false" outlineLevel="0" collapsed="false">
      <c r="A253" s="27"/>
      <c r="B253" s="23"/>
      <c r="C253" s="26" t="str">
        <f aca="false">IF($B253="","",IFERROR(INDEX(Produits!$B$5:$B$204,MATCH($B253,Produits!$A$5:$A$204,0)),"Code inconnu"))</f>
        <v/>
      </c>
      <c r="D253" s="23"/>
      <c r="E253" s="24"/>
      <c r="F253" s="21" t="str">
        <f aca="false">IF(OR($B253="",$D253=""),"",IFERROR(IF($D253="Entrée",INDEX(Produits!$E$5:$E$204,MATCH($B253,Produits!$A$5:$A$204,0)),INDEX(Produits!$F$5:$F$204,MATCH($B253,Produits!$A$5:$A$204,0))),""))</f>
        <v/>
      </c>
      <c r="G253" s="21" t="str">
        <f aca="false">IF(OR($F253="",$E253=""),"",$E253*$F253)</f>
        <v/>
      </c>
      <c r="H253" s="21" t="str">
        <f aca="false">IF(AND($D253="Sortie",$B253&lt;&gt;"",$E253&lt;&gt;""),IFERROR($E253*INDEX(Produits!$E$5:$E$204,MATCH($B253,Produits!$A$5:$A$204,0)),""),"")</f>
        <v/>
      </c>
      <c r="I253" s="23"/>
    </row>
    <row r="254" customFormat="false" ht="15" hidden="false" customHeight="false" outlineLevel="0" collapsed="false">
      <c r="A254" s="27"/>
      <c r="B254" s="23"/>
      <c r="C254" s="26" t="str">
        <f aca="false">IF($B254="","",IFERROR(INDEX(Produits!$B$5:$B$204,MATCH($B254,Produits!$A$5:$A$204,0)),"Code inconnu"))</f>
        <v/>
      </c>
      <c r="D254" s="23"/>
      <c r="E254" s="24"/>
      <c r="F254" s="21" t="str">
        <f aca="false">IF(OR($B254="",$D254=""),"",IFERROR(IF($D254="Entrée",INDEX(Produits!$E$5:$E$204,MATCH($B254,Produits!$A$5:$A$204,0)),INDEX(Produits!$F$5:$F$204,MATCH($B254,Produits!$A$5:$A$204,0))),""))</f>
        <v/>
      </c>
      <c r="G254" s="21" t="str">
        <f aca="false">IF(OR($F254="",$E254=""),"",$E254*$F254)</f>
        <v/>
      </c>
      <c r="H254" s="21" t="str">
        <f aca="false">IF(AND($D254="Sortie",$B254&lt;&gt;"",$E254&lt;&gt;""),IFERROR($E254*INDEX(Produits!$E$5:$E$204,MATCH($B254,Produits!$A$5:$A$204,0)),""),"")</f>
        <v/>
      </c>
      <c r="I254" s="23"/>
    </row>
    <row r="255" customFormat="false" ht="15" hidden="false" customHeight="false" outlineLevel="0" collapsed="false">
      <c r="A255" s="27"/>
      <c r="B255" s="23"/>
      <c r="C255" s="26" t="str">
        <f aca="false">IF($B255="","",IFERROR(INDEX(Produits!$B$5:$B$204,MATCH($B255,Produits!$A$5:$A$204,0)),"Code inconnu"))</f>
        <v/>
      </c>
      <c r="D255" s="23"/>
      <c r="E255" s="24"/>
      <c r="F255" s="21" t="str">
        <f aca="false">IF(OR($B255="",$D255=""),"",IFERROR(IF($D255="Entrée",INDEX(Produits!$E$5:$E$204,MATCH($B255,Produits!$A$5:$A$204,0)),INDEX(Produits!$F$5:$F$204,MATCH($B255,Produits!$A$5:$A$204,0))),""))</f>
        <v/>
      </c>
      <c r="G255" s="21" t="str">
        <f aca="false">IF(OR($F255="",$E255=""),"",$E255*$F255)</f>
        <v/>
      </c>
      <c r="H255" s="21" t="str">
        <f aca="false">IF(AND($D255="Sortie",$B255&lt;&gt;"",$E255&lt;&gt;""),IFERROR($E255*INDEX(Produits!$E$5:$E$204,MATCH($B255,Produits!$A$5:$A$204,0)),""),"")</f>
        <v/>
      </c>
      <c r="I255" s="23"/>
    </row>
    <row r="256" customFormat="false" ht="15" hidden="false" customHeight="false" outlineLevel="0" collapsed="false">
      <c r="A256" s="27"/>
      <c r="B256" s="23"/>
      <c r="C256" s="26" t="str">
        <f aca="false">IF($B256="","",IFERROR(INDEX(Produits!$B$5:$B$204,MATCH($B256,Produits!$A$5:$A$204,0)),"Code inconnu"))</f>
        <v/>
      </c>
      <c r="D256" s="23"/>
      <c r="E256" s="24"/>
      <c r="F256" s="21" t="str">
        <f aca="false">IF(OR($B256="",$D256=""),"",IFERROR(IF($D256="Entrée",INDEX(Produits!$E$5:$E$204,MATCH($B256,Produits!$A$5:$A$204,0)),INDEX(Produits!$F$5:$F$204,MATCH($B256,Produits!$A$5:$A$204,0))),""))</f>
        <v/>
      </c>
      <c r="G256" s="21" t="str">
        <f aca="false">IF(OR($F256="",$E256=""),"",$E256*$F256)</f>
        <v/>
      </c>
      <c r="H256" s="21" t="str">
        <f aca="false">IF(AND($D256="Sortie",$B256&lt;&gt;"",$E256&lt;&gt;""),IFERROR($E256*INDEX(Produits!$E$5:$E$204,MATCH($B256,Produits!$A$5:$A$204,0)),""),"")</f>
        <v/>
      </c>
      <c r="I256" s="23"/>
    </row>
    <row r="257" customFormat="false" ht="15" hidden="false" customHeight="false" outlineLevel="0" collapsed="false">
      <c r="A257" s="27"/>
      <c r="B257" s="23"/>
      <c r="C257" s="26" t="str">
        <f aca="false">IF($B257="","",IFERROR(INDEX(Produits!$B$5:$B$204,MATCH($B257,Produits!$A$5:$A$204,0)),"Code inconnu"))</f>
        <v/>
      </c>
      <c r="D257" s="23"/>
      <c r="E257" s="24"/>
      <c r="F257" s="21" t="str">
        <f aca="false">IF(OR($B257="",$D257=""),"",IFERROR(IF($D257="Entrée",INDEX(Produits!$E$5:$E$204,MATCH($B257,Produits!$A$5:$A$204,0)),INDEX(Produits!$F$5:$F$204,MATCH($B257,Produits!$A$5:$A$204,0))),""))</f>
        <v/>
      </c>
      <c r="G257" s="21" t="str">
        <f aca="false">IF(OR($F257="",$E257=""),"",$E257*$F257)</f>
        <v/>
      </c>
      <c r="H257" s="21" t="str">
        <f aca="false">IF(AND($D257="Sortie",$B257&lt;&gt;"",$E257&lt;&gt;""),IFERROR($E257*INDEX(Produits!$E$5:$E$204,MATCH($B257,Produits!$A$5:$A$204,0)),""),"")</f>
        <v/>
      </c>
      <c r="I257" s="23"/>
    </row>
    <row r="258" customFormat="false" ht="15" hidden="false" customHeight="false" outlineLevel="0" collapsed="false">
      <c r="A258" s="27"/>
      <c r="B258" s="23"/>
      <c r="C258" s="26" t="str">
        <f aca="false">IF($B258="","",IFERROR(INDEX(Produits!$B$5:$B$204,MATCH($B258,Produits!$A$5:$A$204,0)),"Code inconnu"))</f>
        <v/>
      </c>
      <c r="D258" s="23"/>
      <c r="E258" s="24"/>
      <c r="F258" s="21" t="str">
        <f aca="false">IF(OR($B258="",$D258=""),"",IFERROR(IF($D258="Entrée",INDEX(Produits!$E$5:$E$204,MATCH($B258,Produits!$A$5:$A$204,0)),INDEX(Produits!$F$5:$F$204,MATCH($B258,Produits!$A$5:$A$204,0))),""))</f>
        <v/>
      </c>
      <c r="G258" s="21" t="str">
        <f aca="false">IF(OR($F258="",$E258=""),"",$E258*$F258)</f>
        <v/>
      </c>
      <c r="H258" s="21" t="str">
        <f aca="false">IF(AND($D258="Sortie",$B258&lt;&gt;"",$E258&lt;&gt;""),IFERROR($E258*INDEX(Produits!$E$5:$E$204,MATCH($B258,Produits!$A$5:$A$204,0)),""),"")</f>
        <v/>
      </c>
      <c r="I258" s="23"/>
    </row>
    <row r="259" customFormat="false" ht="15" hidden="false" customHeight="false" outlineLevel="0" collapsed="false">
      <c r="A259" s="27"/>
      <c r="B259" s="23"/>
      <c r="C259" s="26" t="str">
        <f aca="false">IF($B259="","",IFERROR(INDEX(Produits!$B$5:$B$204,MATCH($B259,Produits!$A$5:$A$204,0)),"Code inconnu"))</f>
        <v/>
      </c>
      <c r="D259" s="23"/>
      <c r="E259" s="24"/>
      <c r="F259" s="21" t="str">
        <f aca="false">IF(OR($B259="",$D259=""),"",IFERROR(IF($D259="Entrée",INDEX(Produits!$E$5:$E$204,MATCH($B259,Produits!$A$5:$A$204,0)),INDEX(Produits!$F$5:$F$204,MATCH($B259,Produits!$A$5:$A$204,0))),""))</f>
        <v/>
      </c>
      <c r="G259" s="21" t="str">
        <f aca="false">IF(OR($F259="",$E259=""),"",$E259*$F259)</f>
        <v/>
      </c>
      <c r="H259" s="21" t="str">
        <f aca="false">IF(AND($D259="Sortie",$B259&lt;&gt;"",$E259&lt;&gt;""),IFERROR($E259*INDEX(Produits!$E$5:$E$204,MATCH($B259,Produits!$A$5:$A$204,0)),""),"")</f>
        <v/>
      </c>
      <c r="I259" s="23"/>
    </row>
    <row r="260" customFormat="false" ht="15" hidden="false" customHeight="false" outlineLevel="0" collapsed="false">
      <c r="A260" s="27"/>
      <c r="B260" s="23"/>
      <c r="C260" s="26" t="str">
        <f aca="false">IF($B260="","",IFERROR(INDEX(Produits!$B$5:$B$204,MATCH($B260,Produits!$A$5:$A$204,0)),"Code inconnu"))</f>
        <v/>
      </c>
      <c r="D260" s="23"/>
      <c r="E260" s="24"/>
      <c r="F260" s="21" t="str">
        <f aca="false">IF(OR($B260="",$D260=""),"",IFERROR(IF($D260="Entrée",INDEX(Produits!$E$5:$E$204,MATCH($B260,Produits!$A$5:$A$204,0)),INDEX(Produits!$F$5:$F$204,MATCH($B260,Produits!$A$5:$A$204,0))),""))</f>
        <v/>
      </c>
      <c r="G260" s="21" t="str">
        <f aca="false">IF(OR($F260="",$E260=""),"",$E260*$F260)</f>
        <v/>
      </c>
      <c r="H260" s="21" t="str">
        <f aca="false">IF(AND($D260="Sortie",$B260&lt;&gt;"",$E260&lt;&gt;""),IFERROR($E260*INDEX(Produits!$E$5:$E$204,MATCH($B260,Produits!$A$5:$A$204,0)),""),"")</f>
        <v/>
      </c>
      <c r="I260" s="23"/>
    </row>
    <row r="261" customFormat="false" ht="15" hidden="false" customHeight="false" outlineLevel="0" collapsed="false">
      <c r="A261" s="27"/>
      <c r="B261" s="23"/>
      <c r="C261" s="26" t="str">
        <f aca="false">IF($B261="","",IFERROR(INDEX(Produits!$B$5:$B$204,MATCH($B261,Produits!$A$5:$A$204,0)),"Code inconnu"))</f>
        <v/>
      </c>
      <c r="D261" s="23"/>
      <c r="E261" s="24"/>
      <c r="F261" s="21" t="str">
        <f aca="false">IF(OR($B261="",$D261=""),"",IFERROR(IF($D261="Entrée",INDEX(Produits!$E$5:$E$204,MATCH($B261,Produits!$A$5:$A$204,0)),INDEX(Produits!$F$5:$F$204,MATCH($B261,Produits!$A$5:$A$204,0))),""))</f>
        <v/>
      </c>
      <c r="G261" s="21" t="str">
        <f aca="false">IF(OR($F261="",$E261=""),"",$E261*$F261)</f>
        <v/>
      </c>
      <c r="H261" s="21" t="str">
        <f aca="false">IF(AND($D261="Sortie",$B261&lt;&gt;"",$E261&lt;&gt;""),IFERROR($E261*INDEX(Produits!$E$5:$E$204,MATCH($B261,Produits!$A$5:$A$204,0)),""),"")</f>
        <v/>
      </c>
      <c r="I261" s="23"/>
    </row>
    <row r="262" customFormat="false" ht="15" hidden="false" customHeight="false" outlineLevel="0" collapsed="false">
      <c r="A262" s="27"/>
      <c r="B262" s="23"/>
      <c r="C262" s="26" t="str">
        <f aca="false">IF($B262="","",IFERROR(INDEX(Produits!$B$5:$B$204,MATCH($B262,Produits!$A$5:$A$204,0)),"Code inconnu"))</f>
        <v/>
      </c>
      <c r="D262" s="23"/>
      <c r="E262" s="24"/>
      <c r="F262" s="21" t="str">
        <f aca="false">IF(OR($B262="",$D262=""),"",IFERROR(IF($D262="Entrée",INDEX(Produits!$E$5:$E$204,MATCH($B262,Produits!$A$5:$A$204,0)),INDEX(Produits!$F$5:$F$204,MATCH($B262,Produits!$A$5:$A$204,0))),""))</f>
        <v/>
      </c>
      <c r="G262" s="21" t="str">
        <f aca="false">IF(OR($F262="",$E262=""),"",$E262*$F262)</f>
        <v/>
      </c>
      <c r="H262" s="21" t="str">
        <f aca="false">IF(AND($D262="Sortie",$B262&lt;&gt;"",$E262&lt;&gt;""),IFERROR($E262*INDEX(Produits!$E$5:$E$204,MATCH($B262,Produits!$A$5:$A$204,0)),""),"")</f>
        <v/>
      </c>
      <c r="I262" s="23"/>
    </row>
    <row r="263" customFormat="false" ht="15" hidden="false" customHeight="false" outlineLevel="0" collapsed="false">
      <c r="A263" s="27"/>
      <c r="B263" s="23"/>
      <c r="C263" s="26" t="str">
        <f aca="false">IF($B263="","",IFERROR(INDEX(Produits!$B$5:$B$204,MATCH($B263,Produits!$A$5:$A$204,0)),"Code inconnu"))</f>
        <v/>
      </c>
      <c r="D263" s="23"/>
      <c r="E263" s="24"/>
      <c r="F263" s="21" t="str">
        <f aca="false">IF(OR($B263="",$D263=""),"",IFERROR(IF($D263="Entrée",INDEX(Produits!$E$5:$E$204,MATCH($B263,Produits!$A$5:$A$204,0)),INDEX(Produits!$F$5:$F$204,MATCH($B263,Produits!$A$5:$A$204,0))),""))</f>
        <v/>
      </c>
      <c r="G263" s="21" t="str">
        <f aca="false">IF(OR($F263="",$E263=""),"",$E263*$F263)</f>
        <v/>
      </c>
      <c r="H263" s="21" t="str">
        <f aca="false">IF(AND($D263="Sortie",$B263&lt;&gt;"",$E263&lt;&gt;""),IFERROR($E263*INDEX(Produits!$E$5:$E$204,MATCH($B263,Produits!$A$5:$A$204,0)),""),"")</f>
        <v/>
      </c>
      <c r="I263" s="23"/>
    </row>
    <row r="264" customFormat="false" ht="15" hidden="false" customHeight="false" outlineLevel="0" collapsed="false">
      <c r="A264" s="27"/>
      <c r="B264" s="23"/>
      <c r="C264" s="26" t="str">
        <f aca="false">IF($B264="","",IFERROR(INDEX(Produits!$B$5:$B$204,MATCH($B264,Produits!$A$5:$A$204,0)),"Code inconnu"))</f>
        <v/>
      </c>
      <c r="D264" s="23"/>
      <c r="E264" s="24"/>
      <c r="F264" s="21" t="str">
        <f aca="false">IF(OR($B264="",$D264=""),"",IFERROR(IF($D264="Entrée",INDEX(Produits!$E$5:$E$204,MATCH($B264,Produits!$A$5:$A$204,0)),INDEX(Produits!$F$5:$F$204,MATCH($B264,Produits!$A$5:$A$204,0))),""))</f>
        <v/>
      </c>
      <c r="G264" s="21" t="str">
        <f aca="false">IF(OR($F264="",$E264=""),"",$E264*$F264)</f>
        <v/>
      </c>
      <c r="H264" s="21" t="str">
        <f aca="false">IF(AND($D264="Sortie",$B264&lt;&gt;"",$E264&lt;&gt;""),IFERROR($E264*INDEX(Produits!$E$5:$E$204,MATCH($B264,Produits!$A$5:$A$204,0)),""),"")</f>
        <v/>
      </c>
      <c r="I264" s="23"/>
    </row>
    <row r="265" customFormat="false" ht="15" hidden="false" customHeight="false" outlineLevel="0" collapsed="false">
      <c r="A265" s="27"/>
      <c r="B265" s="23"/>
      <c r="C265" s="26" t="str">
        <f aca="false">IF($B265="","",IFERROR(INDEX(Produits!$B$5:$B$204,MATCH($B265,Produits!$A$5:$A$204,0)),"Code inconnu"))</f>
        <v/>
      </c>
      <c r="D265" s="23"/>
      <c r="E265" s="24"/>
      <c r="F265" s="21" t="str">
        <f aca="false">IF(OR($B265="",$D265=""),"",IFERROR(IF($D265="Entrée",INDEX(Produits!$E$5:$E$204,MATCH($B265,Produits!$A$5:$A$204,0)),INDEX(Produits!$F$5:$F$204,MATCH($B265,Produits!$A$5:$A$204,0))),""))</f>
        <v/>
      </c>
      <c r="G265" s="21" t="str">
        <f aca="false">IF(OR($F265="",$E265=""),"",$E265*$F265)</f>
        <v/>
      </c>
      <c r="H265" s="21" t="str">
        <f aca="false">IF(AND($D265="Sortie",$B265&lt;&gt;"",$E265&lt;&gt;""),IFERROR($E265*INDEX(Produits!$E$5:$E$204,MATCH($B265,Produits!$A$5:$A$204,0)),""),"")</f>
        <v/>
      </c>
      <c r="I265" s="23"/>
    </row>
    <row r="266" customFormat="false" ht="15" hidden="false" customHeight="false" outlineLevel="0" collapsed="false">
      <c r="A266" s="27"/>
      <c r="B266" s="23"/>
      <c r="C266" s="26" t="str">
        <f aca="false">IF($B266="","",IFERROR(INDEX(Produits!$B$5:$B$204,MATCH($B266,Produits!$A$5:$A$204,0)),"Code inconnu"))</f>
        <v/>
      </c>
      <c r="D266" s="23"/>
      <c r="E266" s="24"/>
      <c r="F266" s="21" t="str">
        <f aca="false">IF(OR($B266="",$D266=""),"",IFERROR(IF($D266="Entrée",INDEX(Produits!$E$5:$E$204,MATCH($B266,Produits!$A$5:$A$204,0)),INDEX(Produits!$F$5:$F$204,MATCH($B266,Produits!$A$5:$A$204,0))),""))</f>
        <v/>
      </c>
      <c r="G266" s="21" t="str">
        <f aca="false">IF(OR($F266="",$E266=""),"",$E266*$F266)</f>
        <v/>
      </c>
      <c r="H266" s="21" t="str">
        <f aca="false">IF(AND($D266="Sortie",$B266&lt;&gt;"",$E266&lt;&gt;""),IFERROR($E266*INDEX(Produits!$E$5:$E$204,MATCH($B266,Produits!$A$5:$A$204,0)),""),"")</f>
        <v/>
      </c>
      <c r="I266" s="23"/>
    </row>
    <row r="267" customFormat="false" ht="15" hidden="false" customHeight="false" outlineLevel="0" collapsed="false">
      <c r="A267" s="27"/>
      <c r="B267" s="23"/>
      <c r="C267" s="26" t="str">
        <f aca="false">IF($B267="","",IFERROR(INDEX(Produits!$B$5:$B$204,MATCH($B267,Produits!$A$5:$A$204,0)),"Code inconnu"))</f>
        <v/>
      </c>
      <c r="D267" s="23"/>
      <c r="E267" s="24"/>
      <c r="F267" s="21" t="str">
        <f aca="false">IF(OR($B267="",$D267=""),"",IFERROR(IF($D267="Entrée",INDEX(Produits!$E$5:$E$204,MATCH($B267,Produits!$A$5:$A$204,0)),INDEX(Produits!$F$5:$F$204,MATCH($B267,Produits!$A$5:$A$204,0))),""))</f>
        <v/>
      </c>
      <c r="G267" s="21" t="str">
        <f aca="false">IF(OR($F267="",$E267=""),"",$E267*$F267)</f>
        <v/>
      </c>
      <c r="H267" s="21" t="str">
        <f aca="false">IF(AND($D267="Sortie",$B267&lt;&gt;"",$E267&lt;&gt;""),IFERROR($E267*INDEX(Produits!$E$5:$E$204,MATCH($B267,Produits!$A$5:$A$204,0)),""),"")</f>
        <v/>
      </c>
      <c r="I267" s="23"/>
    </row>
    <row r="268" customFormat="false" ht="15" hidden="false" customHeight="false" outlineLevel="0" collapsed="false">
      <c r="A268" s="27"/>
      <c r="B268" s="23"/>
      <c r="C268" s="26" t="str">
        <f aca="false">IF($B268="","",IFERROR(INDEX(Produits!$B$5:$B$204,MATCH($B268,Produits!$A$5:$A$204,0)),"Code inconnu"))</f>
        <v/>
      </c>
      <c r="D268" s="23"/>
      <c r="E268" s="24"/>
      <c r="F268" s="21" t="str">
        <f aca="false">IF(OR($B268="",$D268=""),"",IFERROR(IF($D268="Entrée",INDEX(Produits!$E$5:$E$204,MATCH($B268,Produits!$A$5:$A$204,0)),INDEX(Produits!$F$5:$F$204,MATCH($B268,Produits!$A$5:$A$204,0))),""))</f>
        <v/>
      </c>
      <c r="G268" s="21" t="str">
        <f aca="false">IF(OR($F268="",$E268=""),"",$E268*$F268)</f>
        <v/>
      </c>
      <c r="H268" s="21" t="str">
        <f aca="false">IF(AND($D268="Sortie",$B268&lt;&gt;"",$E268&lt;&gt;""),IFERROR($E268*INDEX(Produits!$E$5:$E$204,MATCH($B268,Produits!$A$5:$A$204,0)),""),"")</f>
        <v/>
      </c>
      <c r="I268" s="23"/>
    </row>
    <row r="269" customFormat="false" ht="15" hidden="false" customHeight="false" outlineLevel="0" collapsed="false">
      <c r="A269" s="27"/>
      <c r="B269" s="23"/>
      <c r="C269" s="26" t="str">
        <f aca="false">IF($B269="","",IFERROR(INDEX(Produits!$B$5:$B$204,MATCH($B269,Produits!$A$5:$A$204,0)),"Code inconnu"))</f>
        <v/>
      </c>
      <c r="D269" s="23"/>
      <c r="E269" s="24"/>
      <c r="F269" s="21" t="str">
        <f aca="false">IF(OR($B269="",$D269=""),"",IFERROR(IF($D269="Entrée",INDEX(Produits!$E$5:$E$204,MATCH($B269,Produits!$A$5:$A$204,0)),INDEX(Produits!$F$5:$F$204,MATCH($B269,Produits!$A$5:$A$204,0))),""))</f>
        <v/>
      </c>
      <c r="G269" s="21" t="str">
        <f aca="false">IF(OR($F269="",$E269=""),"",$E269*$F269)</f>
        <v/>
      </c>
      <c r="H269" s="21" t="str">
        <f aca="false">IF(AND($D269="Sortie",$B269&lt;&gt;"",$E269&lt;&gt;""),IFERROR($E269*INDEX(Produits!$E$5:$E$204,MATCH($B269,Produits!$A$5:$A$204,0)),""),"")</f>
        <v/>
      </c>
      <c r="I269" s="23"/>
    </row>
    <row r="270" customFormat="false" ht="15" hidden="false" customHeight="false" outlineLevel="0" collapsed="false">
      <c r="A270" s="27"/>
      <c r="B270" s="23"/>
      <c r="C270" s="26" t="str">
        <f aca="false">IF($B270="","",IFERROR(INDEX(Produits!$B$5:$B$204,MATCH($B270,Produits!$A$5:$A$204,0)),"Code inconnu"))</f>
        <v/>
      </c>
      <c r="D270" s="23"/>
      <c r="E270" s="24"/>
      <c r="F270" s="21" t="str">
        <f aca="false">IF(OR($B270="",$D270=""),"",IFERROR(IF($D270="Entrée",INDEX(Produits!$E$5:$E$204,MATCH($B270,Produits!$A$5:$A$204,0)),INDEX(Produits!$F$5:$F$204,MATCH($B270,Produits!$A$5:$A$204,0))),""))</f>
        <v/>
      </c>
      <c r="G270" s="21" t="str">
        <f aca="false">IF(OR($F270="",$E270=""),"",$E270*$F270)</f>
        <v/>
      </c>
      <c r="H270" s="21" t="str">
        <f aca="false">IF(AND($D270="Sortie",$B270&lt;&gt;"",$E270&lt;&gt;""),IFERROR($E270*INDEX(Produits!$E$5:$E$204,MATCH($B270,Produits!$A$5:$A$204,0)),""),"")</f>
        <v/>
      </c>
      <c r="I270" s="23"/>
    </row>
    <row r="271" customFormat="false" ht="15" hidden="false" customHeight="false" outlineLevel="0" collapsed="false">
      <c r="A271" s="27"/>
      <c r="B271" s="23"/>
      <c r="C271" s="26" t="str">
        <f aca="false">IF($B271="","",IFERROR(INDEX(Produits!$B$5:$B$204,MATCH($B271,Produits!$A$5:$A$204,0)),"Code inconnu"))</f>
        <v/>
      </c>
      <c r="D271" s="23"/>
      <c r="E271" s="24"/>
      <c r="F271" s="21" t="str">
        <f aca="false">IF(OR($B271="",$D271=""),"",IFERROR(IF($D271="Entrée",INDEX(Produits!$E$5:$E$204,MATCH($B271,Produits!$A$5:$A$204,0)),INDEX(Produits!$F$5:$F$204,MATCH($B271,Produits!$A$5:$A$204,0))),""))</f>
        <v/>
      </c>
      <c r="G271" s="21" t="str">
        <f aca="false">IF(OR($F271="",$E271=""),"",$E271*$F271)</f>
        <v/>
      </c>
      <c r="H271" s="21" t="str">
        <f aca="false">IF(AND($D271="Sortie",$B271&lt;&gt;"",$E271&lt;&gt;""),IFERROR($E271*INDEX(Produits!$E$5:$E$204,MATCH($B271,Produits!$A$5:$A$204,0)),""),"")</f>
        <v/>
      </c>
      <c r="I271" s="23"/>
    </row>
    <row r="272" customFormat="false" ht="15" hidden="false" customHeight="false" outlineLevel="0" collapsed="false">
      <c r="A272" s="27"/>
      <c r="B272" s="23"/>
      <c r="C272" s="26" t="str">
        <f aca="false">IF($B272="","",IFERROR(INDEX(Produits!$B$5:$B$204,MATCH($B272,Produits!$A$5:$A$204,0)),"Code inconnu"))</f>
        <v/>
      </c>
      <c r="D272" s="23"/>
      <c r="E272" s="24"/>
      <c r="F272" s="21" t="str">
        <f aca="false">IF(OR($B272="",$D272=""),"",IFERROR(IF($D272="Entrée",INDEX(Produits!$E$5:$E$204,MATCH($B272,Produits!$A$5:$A$204,0)),INDEX(Produits!$F$5:$F$204,MATCH($B272,Produits!$A$5:$A$204,0))),""))</f>
        <v/>
      </c>
      <c r="G272" s="21" t="str">
        <f aca="false">IF(OR($F272="",$E272=""),"",$E272*$F272)</f>
        <v/>
      </c>
      <c r="H272" s="21" t="str">
        <f aca="false">IF(AND($D272="Sortie",$B272&lt;&gt;"",$E272&lt;&gt;""),IFERROR($E272*INDEX(Produits!$E$5:$E$204,MATCH($B272,Produits!$A$5:$A$204,0)),""),"")</f>
        <v/>
      </c>
      <c r="I272" s="23"/>
    </row>
    <row r="273" customFormat="false" ht="15" hidden="false" customHeight="false" outlineLevel="0" collapsed="false">
      <c r="A273" s="27"/>
      <c r="B273" s="23"/>
      <c r="C273" s="26" t="str">
        <f aca="false">IF($B273="","",IFERROR(INDEX(Produits!$B$5:$B$204,MATCH($B273,Produits!$A$5:$A$204,0)),"Code inconnu"))</f>
        <v/>
      </c>
      <c r="D273" s="23"/>
      <c r="E273" s="24"/>
      <c r="F273" s="21" t="str">
        <f aca="false">IF(OR($B273="",$D273=""),"",IFERROR(IF($D273="Entrée",INDEX(Produits!$E$5:$E$204,MATCH($B273,Produits!$A$5:$A$204,0)),INDEX(Produits!$F$5:$F$204,MATCH($B273,Produits!$A$5:$A$204,0))),""))</f>
        <v/>
      </c>
      <c r="G273" s="21" t="str">
        <f aca="false">IF(OR($F273="",$E273=""),"",$E273*$F273)</f>
        <v/>
      </c>
      <c r="H273" s="21" t="str">
        <f aca="false">IF(AND($D273="Sortie",$B273&lt;&gt;"",$E273&lt;&gt;""),IFERROR($E273*INDEX(Produits!$E$5:$E$204,MATCH($B273,Produits!$A$5:$A$204,0)),""),"")</f>
        <v/>
      </c>
      <c r="I273" s="23"/>
    </row>
    <row r="274" customFormat="false" ht="15" hidden="false" customHeight="false" outlineLevel="0" collapsed="false">
      <c r="A274" s="27"/>
      <c r="B274" s="23"/>
      <c r="C274" s="26" t="str">
        <f aca="false">IF($B274="","",IFERROR(INDEX(Produits!$B$5:$B$204,MATCH($B274,Produits!$A$5:$A$204,0)),"Code inconnu"))</f>
        <v/>
      </c>
      <c r="D274" s="23"/>
      <c r="E274" s="24"/>
      <c r="F274" s="21" t="str">
        <f aca="false">IF(OR($B274="",$D274=""),"",IFERROR(IF($D274="Entrée",INDEX(Produits!$E$5:$E$204,MATCH($B274,Produits!$A$5:$A$204,0)),INDEX(Produits!$F$5:$F$204,MATCH($B274,Produits!$A$5:$A$204,0))),""))</f>
        <v/>
      </c>
      <c r="G274" s="21" t="str">
        <f aca="false">IF(OR($F274="",$E274=""),"",$E274*$F274)</f>
        <v/>
      </c>
      <c r="H274" s="21" t="str">
        <f aca="false">IF(AND($D274="Sortie",$B274&lt;&gt;"",$E274&lt;&gt;""),IFERROR($E274*INDEX(Produits!$E$5:$E$204,MATCH($B274,Produits!$A$5:$A$204,0)),""),"")</f>
        <v/>
      </c>
      <c r="I274" s="23"/>
    </row>
    <row r="275" customFormat="false" ht="15" hidden="false" customHeight="false" outlineLevel="0" collapsed="false">
      <c r="A275" s="27"/>
      <c r="B275" s="23"/>
      <c r="C275" s="26" t="str">
        <f aca="false">IF($B275="","",IFERROR(INDEX(Produits!$B$5:$B$204,MATCH($B275,Produits!$A$5:$A$204,0)),"Code inconnu"))</f>
        <v/>
      </c>
      <c r="D275" s="23"/>
      <c r="E275" s="24"/>
      <c r="F275" s="21" t="str">
        <f aca="false">IF(OR($B275="",$D275=""),"",IFERROR(IF($D275="Entrée",INDEX(Produits!$E$5:$E$204,MATCH($B275,Produits!$A$5:$A$204,0)),INDEX(Produits!$F$5:$F$204,MATCH($B275,Produits!$A$5:$A$204,0))),""))</f>
        <v/>
      </c>
      <c r="G275" s="21" t="str">
        <f aca="false">IF(OR($F275="",$E275=""),"",$E275*$F275)</f>
        <v/>
      </c>
      <c r="H275" s="21" t="str">
        <f aca="false">IF(AND($D275="Sortie",$B275&lt;&gt;"",$E275&lt;&gt;""),IFERROR($E275*INDEX(Produits!$E$5:$E$204,MATCH($B275,Produits!$A$5:$A$204,0)),""),"")</f>
        <v/>
      </c>
      <c r="I275" s="23"/>
    </row>
    <row r="276" customFormat="false" ht="15" hidden="false" customHeight="false" outlineLevel="0" collapsed="false">
      <c r="A276" s="27"/>
      <c r="B276" s="23"/>
      <c r="C276" s="26" t="str">
        <f aca="false">IF($B276="","",IFERROR(INDEX(Produits!$B$5:$B$204,MATCH($B276,Produits!$A$5:$A$204,0)),"Code inconnu"))</f>
        <v/>
      </c>
      <c r="D276" s="23"/>
      <c r="E276" s="24"/>
      <c r="F276" s="21" t="str">
        <f aca="false">IF(OR($B276="",$D276=""),"",IFERROR(IF($D276="Entrée",INDEX(Produits!$E$5:$E$204,MATCH($B276,Produits!$A$5:$A$204,0)),INDEX(Produits!$F$5:$F$204,MATCH($B276,Produits!$A$5:$A$204,0))),""))</f>
        <v/>
      </c>
      <c r="G276" s="21" t="str">
        <f aca="false">IF(OR($F276="",$E276=""),"",$E276*$F276)</f>
        <v/>
      </c>
      <c r="H276" s="21" t="str">
        <f aca="false">IF(AND($D276="Sortie",$B276&lt;&gt;"",$E276&lt;&gt;""),IFERROR($E276*INDEX(Produits!$E$5:$E$204,MATCH($B276,Produits!$A$5:$A$204,0)),""),"")</f>
        <v/>
      </c>
      <c r="I276" s="23"/>
    </row>
    <row r="277" customFormat="false" ht="15" hidden="false" customHeight="false" outlineLevel="0" collapsed="false">
      <c r="A277" s="27"/>
      <c r="B277" s="23"/>
      <c r="C277" s="26" t="str">
        <f aca="false">IF($B277="","",IFERROR(INDEX(Produits!$B$5:$B$204,MATCH($B277,Produits!$A$5:$A$204,0)),"Code inconnu"))</f>
        <v/>
      </c>
      <c r="D277" s="23"/>
      <c r="E277" s="24"/>
      <c r="F277" s="21" t="str">
        <f aca="false">IF(OR($B277="",$D277=""),"",IFERROR(IF($D277="Entrée",INDEX(Produits!$E$5:$E$204,MATCH($B277,Produits!$A$5:$A$204,0)),INDEX(Produits!$F$5:$F$204,MATCH($B277,Produits!$A$5:$A$204,0))),""))</f>
        <v/>
      </c>
      <c r="G277" s="21" t="str">
        <f aca="false">IF(OR($F277="",$E277=""),"",$E277*$F277)</f>
        <v/>
      </c>
      <c r="H277" s="21" t="str">
        <f aca="false">IF(AND($D277="Sortie",$B277&lt;&gt;"",$E277&lt;&gt;""),IFERROR($E277*INDEX(Produits!$E$5:$E$204,MATCH($B277,Produits!$A$5:$A$204,0)),""),"")</f>
        <v/>
      </c>
      <c r="I277" s="23"/>
    </row>
    <row r="278" customFormat="false" ht="15" hidden="false" customHeight="false" outlineLevel="0" collapsed="false">
      <c r="A278" s="27"/>
      <c r="B278" s="23"/>
      <c r="C278" s="26" t="str">
        <f aca="false">IF($B278="","",IFERROR(INDEX(Produits!$B$5:$B$204,MATCH($B278,Produits!$A$5:$A$204,0)),"Code inconnu"))</f>
        <v/>
      </c>
      <c r="D278" s="23"/>
      <c r="E278" s="24"/>
      <c r="F278" s="21" t="str">
        <f aca="false">IF(OR($B278="",$D278=""),"",IFERROR(IF($D278="Entrée",INDEX(Produits!$E$5:$E$204,MATCH($B278,Produits!$A$5:$A$204,0)),INDEX(Produits!$F$5:$F$204,MATCH($B278,Produits!$A$5:$A$204,0))),""))</f>
        <v/>
      </c>
      <c r="G278" s="21" t="str">
        <f aca="false">IF(OR($F278="",$E278=""),"",$E278*$F278)</f>
        <v/>
      </c>
      <c r="H278" s="21" t="str">
        <f aca="false">IF(AND($D278="Sortie",$B278&lt;&gt;"",$E278&lt;&gt;""),IFERROR($E278*INDEX(Produits!$E$5:$E$204,MATCH($B278,Produits!$A$5:$A$204,0)),""),"")</f>
        <v/>
      </c>
      <c r="I278" s="23"/>
    </row>
    <row r="279" customFormat="false" ht="15" hidden="false" customHeight="false" outlineLevel="0" collapsed="false">
      <c r="A279" s="27"/>
      <c r="B279" s="23"/>
      <c r="C279" s="26" t="str">
        <f aca="false">IF($B279="","",IFERROR(INDEX(Produits!$B$5:$B$204,MATCH($B279,Produits!$A$5:$A$204,0)),"Code inconnu"))</f>
        <v/>
      </c>
      <c r="D279" s="23"/>
      <c r="E279" s="24"/>
      <c r="F279" s="21" t="str">
        <f aca="false">IF(OR($B279="",$D279=""),"",IFERROR(IF($D279="Entrée",INDEX(Produits!$E$5:$E$204,MATCH($B279,Produits!$A$5:$A$204,0)),INDEX(Produits!$F$5:$F$204,MATCH($B279,Produits!$A$5:$A$204,0))),""))</f>
        <v/>
      </c>
      <c r="G279" s="21" t="str">
        <f aca="false">IF(OR($F279="",$E279=""),"",$E279*$F279)</f>
        <v/>
      </c>
      <c r="H279" s="21" t="str">
        <f aca="false">IF(AND($D279="Sortie",$B279&lt;&gt;"",$E279&lt;&gt;""),IFERROR($E279*INDEX(Produits!$E$5:$E$204,MATCH($B279,Produits!$A$5:$A$204,0)),""),"")</f>
        <v/>
      </c>
      <c r="I279" s="23"/>
    </row>
    <row r="280" customFormat="false" ht="15" hidden="false" customHeight="false" outlineLevel="0" collapsed="false">
      <c r="A280" s="27"/>
      <c r="B280" s="23"/>
      <c r="C280" s="26" t="str">
        <f aca="false">IF($B280="","",IFERROR(INDEX(Produits!$B$5:$B$204,MATCH($B280,Produits!$A$5:$A$204,0)),"Code inconnu"))</f>
        <v/>
      </c>
      <c r="D280" s="23"/>
      <c r="E280" s="24"/>
      <c r="F280" s="21" t="str">
        <f aca="false">IF(OR($B280="",$D280=""),"",IFERROR(IF($D280="Entrée",INDEX(Produits!$E$5:$E$204,MATCH($B280,Produits!$A$5:$A$204,0)),INDEX(Produits!$F$5:$F$204,MATCH($B280,Produits!$A$5:$A$204,0))),""))</f>
        <v/>
      </c>
      <c r="G280" s="21" t="str">
        <f aca="false">IF(OR($F280="",$E280=""),"",$E280*$F280)</f>
        <v/>
      </c>
      <c r="H280" s="21" t="str">
        <f aca="false">IF(AND($D280="Sortie",$B280&lt;&gt;"",$E280&lt;&gt;""),IFERROR($E280*INDEX(Produits!$E$5:$E$204,MATCH($B280,Produits!$A$5:$A$204,0)),""),"")</f>
        <v/>
      </c>
      <c r="I280" s="23"/>
    </row>
    <row r="281" customFormat="false" ht="15" hidden="false" customHeight="false" outlineLevel="0" collapsed="false">
      <c r="A281" s="27"/>
      <c r="B281" s="23"/>
      <c r="C281" s="26" t="str">
        <f aca="false">IF($B281="","",IFERROR(INDEX(Produits!$B$5:$B$204,MATCH($B281,Produits!$A$5:$A$204,0)),"Code inconnu"))</f>
        <v/>
      </c>
      <c r="D281" s="23"/>
      <c r="E281" s="24"/>
      <c r="F281" s="21" t="str">
        <f aca="false">IF(OR($B281="",$D281=""),"",IFERROR(IF($D281="Entrée",INDEX(Produits!$E$5:$E$204,MATCH($B281,Produits!$A$5:$A$204,0)),INDEX(Produits!$F$5:$F$204,MATCH($B281,Produits!$A$5:$A$204,0))),""))</f>
        <v/>
      </c>
      <c r="G281" s="21" t="str">
        <f aca="false">IF(OR($F281="",$E281=""),"",$E281*$F281)</f>
        <v/>
      </c>
      <c r="H281" s="21" t="str">
        <f aca="false">IF(AND($D281="Sortie",$B281&lt;&gt;"",$E281&lt;&gt;""),IFERROR($E281*INDEX(Produits!$E$5:$E$204,MATCH($B281,Produits!$A$5:$A$204,0)),""),"")</f>
        <v/>
      </c>
      <c r="I281" s="23"/>
    </row>
    <row r="282" customFormat="false" ht="15" hidden="false" customHeight="false" outlineLevel="0" collapsed="false">
      <c r="A282" s="27"/>
      <c r="B282" s="23"/>
      <c r="C282" s="26" t="str">
        <f aca="false">IF($B282="","",IFERROR(INDEX(Produits!$B$5:$B$204,MATCH($B282,Produits!$A$5:$A$204,0)),"Code inconnu"))</f>
        <v/>
      </c>
      <c r="D282" s="23"/>
      <c r="E282" s="24"/>
      <c r="F282" s="21" t="str">
        <f aca="false">IF(OR($B282="",$D282=""),"",IFERROR(IF($D282="Entrée",INDEX(Produits!$E$5:$E$204,MATCH($B282,Produits!$A$5:$A$204,0)),INDEX(Produits!$F$5:$F$204,MATCH($B282,Produits!$A$5:$A$204,0))),""))</f>
        <v/>
      </c>
      <c r="G282" s="21" t="str">
        <f aca="false">IF(OR($F282="",$E282=""),"",$E282*$F282)</f>
        <v/>
      </c>
      <c r="H282" s="21" t="str">
        <f aca="false">IF(AND($D282="Sortie",$B282&lt;&gt;"",$E282&lt;&gt;""),IFERROR($E282*INDEX(Produits!$E$5:$E$204,MATCH($B282,Produits!$A$5:$A$204,0)),""),"")</f>
        <v/>
      </c>
      <c r="I282" s="23"/>
    </row>
    <row r="283" customFormat="false" ht="15" hidden="false" customHeight="false" outlineLevel="0" collapsed="false">
      <c r="A283" s="27"/>
      <c r="B283" s="23"/>
      <c r="C283" s="26" t="str">
        <f aca="false">IF($B283="","",IFERROR(INDEX(Produits!$B$5:$B$204,MATCH($B283,Produits!$A$5:$A$204,0)),"Code inconnu"))</f>
        <v/>
      </c>
      <c r="D283" s="23"/>
      <c r="E283" s="24"/>
      <c r="F283" s="21" t="str">
        <f aca="false">IF(OR($B283="",$D283=""),"",IFERROR(IF($D283="Entrée",INDEX(Produits!$E$5:$E$204,MATCH($B283,Produits!$A$5:$A$204,0)),INDEX(Produits!$F$5:$F$204,MATCH($B283,Produits!$A$5:$A$204,0))),""))</f>
        <v/>
      </c>
      <c r="G283" s="21" t="str">
        <f aca="false">IF(OR($F283="",$E283=""),"",$E283*$F283)</f>
        <v/>
      </c>
      <c r="H283" s="21" t="str">
        <f aca="false">IF(AND($D283="Sortie",$B283&lt;&gt;"",$E283&lt;&gt;""),IFERROR($E283*INDEX(Produits!$E$5:$E$204,MATCH($B283,Produits!$A$5:$A$204,0)),""),"")</f>
        <v/>
      </c>
      <c r="I283" s="23"/>
    </row>
    <row r="284" customFormat="false" ht="15" hidden="false" customHeight="false" outlineLevel="0" collapsed="false">
      <c r="A284" s="27"/>
      <c r="B284" s="23"/>
      <c r="C284" s="26" t="str">
        <f aca="false">IF($B284="","",IFERROR(INDEX(Produits!$B$5:$B$204,MATCH($B284,Produits!$A$5:$A$204,0)),"Code inconnu"))</f>
        <v/>
      </c>
      <c r="D284" s="23"/>
      <c r="E284" s="24"/>
      <c r="F284" s="21" t="str">
        <f aca="false">IF(OR($B284="",$D284=""),"",IFERROR(IF($D284="Entrée",INDEX(Produits!$E$5:$E$204,MATCH($B284,Produits!$A$5:$A$204,0)),INDEX(Produits!$F$5:$F$204,MATCH($B284,Produits!$A$5:$A$204,0))),""))</f>
        <v/>
      </c>
      <c r="G284" s="21" t="str">
        <f aca="false">IF(OR($F284="",$E284=""),"",$E284*$F284)</f>
        <v/>
      </c>
      <c r="H284" s="21" t="str">
        <f aca="false">IF(AND($D284="Sortie",$B284&lt;&gt;"",$E284&lt;&gt;""),IFERROR($E284*INDEX(Produits!$E$5:$E$204,MATCH($B284,Produits!$A$5:$A$204,0)),""),"")</f>
        <v/>
      </c>
      <c r="I284" s="23"/>
    </row>
    <row r="285" customFormat="false" ht="15" hidden="false" customHeight="false" outlineLevel="0" collapsed="false">
      <c r="A285" s="27"/>
      <c r="B285" s="23"/>
      <c r="C285" s="26" t="str">
        <f aca="false">IF($B285="","",IFERROR(INDEX(Produits!$B$5:$B$204,MATCH($B285,Produits!$A$5:$A$204,0)),"Code inconnu"))</f>
        <v/>
      </c>
      <c r="D285" s="23"/>
      <c r="E285" s="24"/>
      <c r="F285" s="21" t="str">
        <f aca="false">IF(OR($B285="",$D285=""),"",IFERROR(IF($D285="Entrée",INDEX(Produits!$E$5:$E$204,MATCH($B285,Produits!$A$5:$A$204,0)),INDEX(Produits!$F$5:$F$204,MATCH($B285,Produits!$A$5:$A$204,0))),""))</f>
        <v/>
      </c>
      <c r="G285" s="21" t="str">
        <f aca="false">IF(OR($F285="",$E285=""),"",$E285*$F285)</f>
        <v/>
      </c>
      <c r="H285" s="21" t="str">
        <f aca="false">IF(AND($D285="Sortie",$B285&lt;&gt;"",$E285&lt;&gt;""),IFERROR($E285*INDEX(Produits!$E$5:$E$204,MATCH($B285,Produits!$A$5:$A$204,0)),""),"")</f>
        <v/>
      </c>
      <c r="I285" s="23"/>
    </row>
    <row r="286" customFormat="false" ht="15" hidden="false" customHeight="false" outlineLevel="0" collapsed="false">
      <c r="A286" s="27"/>
      <c r="B286" s="23"/>
      <c r="C286" s="26" t="str">
        <f aca="false">IF($B286="","",IFERROR(INDEX(Produits!$B$5:$B$204,MATCH($B286,Produits!$A$5:$A$204,0)),"Code inconnu"))</f>
        <v/>
      </c>
      <c r="D286" s="23"/>
      <c r="E286" s="24"/>
      <c r="F286" s="21" t="str">
        <f aca="false">IF(OR($B286="",$D286=""),"",IFERROR(IF($D286="Entrée",INDEX(Produits!$E$5:$E$204,MATCH($B286,Produits!$A$5:$A$204,0)),INDEX(Produits!$F$5:$F$204,MATCH($B286,Produits!$A$5:$A$204,0))),""))</f>
        <v/>
      </c>
      <c r="G286" s="21" t="str">
        <f aca="false">IF(OR($F286="",$E286=""),"",$E286*$F286)</f>
        <v/>
      </c>
      <c r="H286" s="21" t="str">
        <f aca="false">IF(AND($D286="Sortie",$B286&lt;&gt;"",$E286&lt;&gt;""),IFERROR($E286*INDEX(Produits!$E$5:$E$204,MATCH($B286,Produits!$A$5:$A$204,0)),""),"")</f>
        <v/>
      </c>
      <c r="I286" s="23"/>
    </row>
    <row r="287" customFormat="false" ht="15" hidden="false" customHeight="false" outlineLevel="0" collapsed="false">
      <c r="A287" s="27"/>
      <c r="B287" s="23"/>
      <c r="C287" s="26" t="str">
        <f aca="false">IF($B287="","",IFERROR(INDEX(Produits!$B$5:$B$204,MATCH($B287,Produits!$A$5:$A$204,0)),"Code inconnu"))</f>
        <v/>
      </c>
      <c r="D287" s="23"/>
      <c r="E287" s="24"/>
      <c r="F287" s="21" t="str">
        <f aca="false">IF(OR($B287="",$D287=""),"",IFERROR(IF($D287="Entrée",INDEX(Produits!$E$5:$E$204,MATCH($B287,Produits!$A$5:$A$204,0)),INDEX(Produits!$F$5:$F$204,MATCH($B287,Produits!$A$5:$A$204,0))),""))</f>
        <v/>
      </c>
      <c r="G287" s="21" t="str">
        <f aca="false">IF(OR($F287="",$E287=""),"",$E287*$F287)</f>
        <v/>
      </c>
      <c r="H287" s="21" t="str">
        <f aca="false">IF(AND($D287="Sortie",$B287&lt;&gt;"",$E287&lt;&gt;""),IFERROR($E287*INDEX(Produits!$E$5:$E$204,MATCH($B287,Produits!$A$5:$A$204,0)),""),"")</f>
        <v/>
      </c>
      <c r="I287" s="23"/>
    </row>
    <row r="288" customFormat="false" ht="15" hidden="false" customHeight="false" outlineLevel="0" collapsed="false">
      <c r="A288" s="27"/>
      <c r="B288" s="23"/>
      <c r="C288" s="26" t="str">
        <f aca="false">IF($B288="","",IFERROR(INDEX(Produits!$B$5:$B$204,MATCH($B288,Produits!$A$5:$A$204,0)),"Code inconnu"))</f>
        <v/>
      </c>
      <c r="D288" s="23"/>
      <c r="E288" s="24"/>
      <c r="F288" s="21" t="str">
        <f aca="false">IF(OR($B288="",$D288=""),"",IFERROR(IF($D288="Entrée",INDEX(Produits!$E$5:$E$204,MATCH($B288,Produits!$A$5:$A$204,0)),INDEX(Produits!$F$5:$F$204,MATCH($B288,Produits!$A$5:$A$204,0))),""))</f>
        <v/>
      </c>
      <c r="G288" s="21" t="str">
        <f aca="false">IF(OR($F288="",$E288=""),"",$E288*$F288)</f>
        <v/>
      </c>
      <c r="H288" s="21" t="str">
        <f aca="false">IF(AND($D288="Sortie",$B288&lt;&gt;"",$E288&lt;&gt;""),IFERROR($E288*INDEX(Produits!$E$5:$E$204,MATCH($B288,Produits!$A$5:$A$204,0)),""),"")</f>
        <v/>
      </c>
      <c r="I288" s="23"/>
    </row>
    <row r="289" customFormat="false" ht="15" hidden="false" customHeight="false" outlineLevel="0" collapsed="false">
      <c r="A289" s="27"/>
      <c r="B289" s="23"/>
      <c r="C289" s="26" t="str">
        <f aca="false">IF($B289="","",IFERROR(INDEX(Produits!$B$5:$B$204,MATCH($B289,Produits!$A$5:$A$204,0)),"Code inconnu"))</f>
        <v/>
      </c>
      <c r="D289" s="23"/>
      <c r="E289" s="24"/>
      <c r="F289" s="21" t="str">
        <f aca="false">IF(OR($B289="",$D289=""),"",IFERROR(IF($D289="Entrée",INDEX(Produits!$E$5:$E$204,MATCH($B289,Produits!$A$5:$A$204,0)),INDEX(Produits!$F$5:$F$204,MATCH($B289,Produits!$A$5:$A$204,0))),""))</f>
        <v/>
      </c>
      <c r="G289" s="21" t="str">
        <f aca="false">IF(OR($F289="",$E289=""),"",$E289*$F289)</f>
        <v/>
      </c>
      <c r="H289" s="21" t="str">
        <f aca="false">IF(AND($D289="Sortie",$B289&lt;&gt;"",$E289&lt;&gt;""),IFERROR($E289*INDEX(Produits!$E$5:$E$204,MATCH($B289,Produits!$A$5:$A$204,0)),""),"")</f>
        <v/>
      </c>
      <c r="I289" s="23"/>
    </row>
    <row r="290" customFormat="false" ht="15" hidden="false" customHeight="false" outlineLevel="0" collapsed="false">
      <c r="A290" s="27"/>
      <c r="B290" s="23"/>
      <c r="C290" s="26" t="str">
        <f aca="false">IF($B290="","",IFERROR(INDEX(Produits!$B$5:$B$204,MATCH($B290,Produits!$A$5:$A$204,0)),"Code inconnu"))</f>
        <v/>
      </c>
      <c r="D290" s="23"/>
      <c r="E290" s="24"/>
      <c r="F290" s="21" t="str">
        <f aca="false">IF(OR($B290="",$D290=""),"",IFERROR(IF($D290="Entrée",INDEX(Produits!$E$5:$E$204,MATCH($B290,Produits!$A$5:$A$204,0)),INDEX(Produits!$F$5:$F$204,MATCH($B290,Produits!$A$5:$A$204,0))),""))</f>
        <v/>
      </c>
      <c r="G290" s="21" t="str">
        <f aca="false">IF(OR($F290="",$E290=""),"",$E290*$F290)</f>
        <v/>
      </c>
      <c r="H290" s="21" t="str">
        <f aca="false">IF(AND($D290="Sortie",$B290&lt;&gt;"",$E290&lt;&gt;""),IFERROR($E290*INDEX(Produits!$E$5:$E$204,MATCH($B290,Produits!$A$5:$A$204,0)),""),"")</f>
        <v/>
      </c>
      <c r="I290" s="23"/>
    </row>
    <row r="291" customFormat="false" ht="15" hidden="false" customHeight="false" outlineLevel="0" collapsed="false">
      <c r="A291" s="27"/>
      <c r="B291" s="23"/>
      <c r="C291" s="26" t="str">
        <f aca="false">IF($B291="","",IFERROR(INDEX(Produits!$B$5:$B$204,MATCH($B291,Produits!$A$5:$A$204,0)),"Code inconnu"))</f>
        <v/>
      </c>
      <c r="D291" s="23"/>
      <c r="E291" s="24"/>
      <c r="F291" s="21" t="str">
        <f aca="false">IF(OR($B291="",$D291=""),"",IFERROR(IF($D291="Entrée",INDEX(Produits!$E$5:$E$204,MATCH($B291,Produits!$A$5:$A$204,0)),INDEX(Produits!$F$5:$F$204,MATCH($B291,Produits!$A$5:$A$204,0))),""))</f>
        <v/>
      </c>
      <c r="G291" s="21" t="str">
        <f aca="false">IF(OR($F291="",$E291=""),"",$E291*$F291)</f>
        <v/>
      </c>
      <c r="H291" s="21" t="str">
        <f aca="false">IF(AND($D291="Sortie",$B291&lt;&gt;"",$E291&lt;&gt;""),IFERROR($E291*INDEX(Produits!$E$5:$E$204,MATCH($B291,Produits!$A$5:$A$204,0)),""),"")</f>
        <v/>
      </c>
      <c r="I291" s="23"/>
    </row>
    <row r="292" customFormat="false" ht="15" hidden="false" customHeight="false" outlineLevel="0" collapsed="false">
      <c r="A292" s="27"/>
      <c r="B292" s="23"/>
      <c r="C292" s="26" t="str">
        <f aca="false">IF($B292="","",IFERROR(INDEX(Produits!$B$5:$B$204,MATCH($B292,Produits!$A$5:$A$204,0)),"Code inconnu"))</f>
        <v/>
      </c>
      <c r="D292" s="23"/>
      <c r="E292" s="24"/>
      <c r="F292" s="21" t="str">
        <f aca="false">IF(OR($B292="",$D292=""),"",IFERROR(IF($D292="Entrée",INDEX(Produits!$E$5:$E$204,MATCH($B292,Produits!$A$5:$A$204,0)),INDEX(Produits!$F$5:$F$204,MATCH($B292,Produits!$A$5:$A$204,0))),""))</f>
        <v/>
      </c>
      <c r="G292" s="21" t="str">
        <f aca="false">IF(OR($F292="",$E292=""),"",$E292*$F292)</f>
        <v/>
      </c>
      <c r="H292" s="21" t="str">
        <f aca="false">IF(AND($D292="Sortie",$B292&lt;&gt;"",$E292&lt;&gt;""),IFERROR($E292*INDEX(Produits!$E$5:$E$204,MATCH($B292,Produits!$A$5:$A$204,0)),""),"")</f>
        <v/>
      </c>
      <c r="I292" s="23"/>
    </row>
    <row r="293" customFormat="false" ht="15" hidden="false" customHeight="false" outlineLevel="0" collapsed="false">
      <c r="A293" s="27"/>
      <c r="B293" s="23"/>
      <c r="C293" s="26" t="str">
        <f aca="false">IF($B293="","",IFERROR(INDEX(Produits!$B$5:$B$204,MATCH($B293,Produits!$A$5:$A$204,0)),"Code inconnu"))</f>
        <v/>
      </c>
      <c r="D293" s="23"/>
      <c r="E293" s="24"/>
      <c r="F293" s="21" t="str">
        <f aca="false">IF(OR($B293="",$D293=""),"",IFERROR(IF($D293="Entrée",INDEX(Produits!$E$5:$E$204,MATCH($B293,Produits!$A$5:$A$204,0)),INDEX(Produits!$F$5:$F$204,MATCH($B293,Produits!$A$5:$A$204,0))),""))</f>
        <v/>
      </c>
      <c r="G293" s="21" t="str">
        <f aca="false">IF(OR($F293="",$E293=""),"",$E293*$F293)</f>
        <v/>
      </c>
      <c r="H293" s="21" t="str">
        <f aca="false">IF(AND($D293="Sortie",$B293&lt;&gt;"",$E293&lt;&gt;""),IFERROR($E293*INDEX(Produits!$E$5:$E$204,MATCH($B293,Produits!$A$5:$A$204,0)),""),"")</f>
        <v/>
      </c>
      <c r="I293" s="23"/>
    </row>
    <row r="294" customFormat="false" ht="15" hidden="false" customHeight="false" outlineLevel="0" collapsed="false">
      <c r="A294" s="27"/>
      <c r="B294" s="23"/>
      <c r="C294" s="26" t="str">
        <f aca="false">IF($B294="","",IFERROR(INDEX(Produits!$B$5:$B$204,MATCH($B294,Produits!$A$5:$A$204,0)),"Code inconnu"))</f>
        <v/>
      </c>
      <c r="D294" s="23"/>
      <c r="E294" s="24"/>
      <c r="F294" s="21" t="str">
        <f aca="false">IF(OR($B294="",$D294=""),"",IFERROR(IF($D294="Entrée",INDEX(Produits!$E$5:$E$204,MATCH($B294,Produits!$A$5:$A$204,0)),INDEX(Produits!$F$5:$F$204,MATCH($B294,Produits!$A$5:$A$204,0))),""))</f>
        <v/>
      </c>
      <c r="G294" s="21" t="str">
        <f aca="false">IF(OR($F294="",$E294=""),"",$E294*$F294)</f>
        <v/>
      </c>
      <c r="H294" s="21" t="str">
        <f aca="false">IF(AND($D294="Sortie",$B294&lt;&gt;"",$E294&lt;&gt;""),IFERROR($E294*INDEX(Produits!$E$5:$E$204,MATCH($B294,Produits!$A$5:$A$204,0)),""),"")</f>
        <v/>
      </c>
      <c r="I294" s="23"/>
    </row>
    <row r="295" customFormat="false" ht="15" hidden="false" customHeight="false" outlineLevel="0" collapsed="false">
      <c r="A295" s="27"/>
      <c r="B295" s="23"/>
      <c r="C295" s="26" t="str">
        <f aca="false">IF($B295="","",IFERROR(INDEX(Produits!$B$5:$B$204,MATCH($B295,Produits!$A$5:$A$204,0)),"Code inconnu"))</f>
        <v/>
      </c>
      <c r="D295" s="23"/>
      <c r="E295" s="24"/>
      <c r="F295" s="21" t="str">
        <f aca="false">IF(OR($B295="",$D295=""),"",IFERROR(IF($D295="Entrée",INDEX(Produits!$E$5:$E$204,MATCH($B295,Produits!$A$5:$A$204,0)),INDEX(Produits!$F$5:$F$204,MATCH($B295,Produits!$A$5:$A$204,0))),""))</f>
        <v/>
      </c>
      <c r="G295" s="21" t="str">
        <f aca="false">IF(OR($F295="",$E295=""),"",$E295*$F295)</f>
        <v/>
      </c>
      <c r="H295" s="21" t="str">
        <f aca="false">IF(AND($D295="Sortie",$B295&lt;&gt;"",$E295&lt;&gt;""),IFERROR($E295*INDEX(Produits!$E$5:$E$204,MATCH($B295,Produits!$A$5:$A$204,0)),""),"")</f>
        <v/>
      </c>
      <c r="I295" s="23"/>
    </row>
    <row r="296" customFormat="false" ht="15" hidden="false" customHeight="false" outlineLevel="0" collapsed="false">
      <c r="A296" s="27"/>
      <c r="B296" s="23"/>
      <c r="C296" s="26" t="str">
        <f aca="false">IF($B296="","",IFERROR(INDEX(Produits!$B$5:$B$204,MATCH($B296,Produits!$A$5:$A$204,0)),"Code inconnu"))</f>
        <v/>
      </c>
      <c r="D296" s="23"/>
      <c r="E296" s="24"/>
      <c r="F296" s="21" t="str">
        <f aca="false">IF(OR($B296="",$D296=""),"",IFERROR(IF($D296="Entrée",INDEX(Produits!$E$5:$E$204,MATCH($B296,Produits!$A$5:$A$204,0)),INDEX(Produits!$F$5:$F$204,MATCH($B296,Produits!$A$5:$A$204,0))),""))</f>
        <v/>
      </c>
      <c r="G296" s="21" t="str">
        <f aca="false">IF(OR($F296="",$E296=""),"",$E296*$F296)</f>
        <v/>
      </c>
      <c r="H296" s="21" t="str">
        <f aca="false">IF(AND($D296="Sortie",$B296&lt;&gt;"",$E296&lt;&gt;""),IFERROR($E296*INDEX(Produits!$E$5:$E$204,MATCH($B296,Produits!$A$5:$A$204,0)),""),"")</f>
        <v/>
      </c>
      <c r="I296" s="23"/>
    </row>
    <row r="297" customFormat="false" ht="15" hidden="false" customHeight="false" outlineLevel="0" collapsed="false">
      <c r="A297" s="27"/>
      <c r="B297" s="23"/>
      <c r="C297" s="26" t="str">
        <f aca="false">IF($B297="","",IFERROR(INDEX(Produits!$B$5:$B$204,MATCH($B297,Produits!$A$5:$A$204,0)),"Code inconnu"))</f>
        <v/>
      </c>
      <c r="D297" s="23"/>
      <c r="E297" s="24"/>
      <c r="F297" s="21" t="str">
        <f aca="false">IF(OR($B297="",$D297=""),"",IFERROR(IF($D297="Entrée",INDEX(Produits!$E$5:$E$204,MATCH($B297,Produits!$A$5:$A$204,0)),INDEX(Produits!$F$5:$F$204,MATCH($B297,Produits!$A$5:$A$204,0))),""))</f>
        <v/>
      </c>
      <c r="G297" s="21" t="str">
        <f aca="false">IF(OR($F297="",$E297=""),"",$E297*$F297)</f>
        <v/>
      </c>
      <c r="H297" s="21" t="str">
        <f aca="false">IF(AND($D297="Sortie",$B297&lt;&gt;"",$E297&lt;&gt;""),IFERROR($E297*INDEX(Produits!$E$5:$E$204,MATCH($B297,Produits!$A$5:$A$204,0)),""),"")</f>
        <v/>
      </c>
      <c r="I297" s="23"/>
    </row>
    <row r="298" customFormat="false" ht="15" hidden="false" customHeight="false" outlineLevel="0" collapsed="false">
      <c r="A298" s="27"/>
      <c r="B298" s="23"/>
      <c r="C298" s="26" t="str">
        <f aca="false">IF($B298="","",IFERROR(INDEX(Produits!$B$5:$B$204,MATCH($B298,Produits!$A$5:$A$204,0)),"Code inconnu"))</f>
        <v/>
      </c>
      <c r="D298" s="23"/>
      <c r="E298" s="24"/>
      <c r="F298" s="21" t="str">
        <f aca="false">IF(OR($B298="",$D298=""),"",IFERROR(IF($D298="Entrée",INDEX(Produits!$E$5:$E$204,MATCH($B298,Produits!$A$5:$A$204,0)),INDEX(Produits!$F$5:$F$204,MATCH($B298,Produits!$A$5:$A$204,0))),""))</f>
        <v/>
      </c>
      <c r="G298" s="21" t="str">
        <f aca="false">IF(OR($F298="",$E298=""),"",$E298*$F298)</f>
        <v/>
      </c>
      <c r="H298" s="21" t="str">
        <f aca="false">IF(AND($D298="Sortie",$B298&lt;&gt;"",$E298&lt;&gt;""),IFERROR($E298*INDEX(Produits!$E$5:$E$204,MATCH($B298,Produits!$A$5:$A$204,0)),""),"")</f>
        <v/>
      </c>
      <c r="I298" s="23"/>
    </row>
    <row r="299" customFormat="false" ht="15" hidden="false" customHeight="false" outlineLevel="0" collapsed="false">
      <c r="A299" s="27"/>
      <c r="B299" s="23"/>
      <c r="C299" s="26" t="str">
        <f aca="false">IF($B299="","",IFERROR(INDEX(Produits!$B$5:$B$204,MATCH($B299,Produits!$A$5:$A$204,0)),"Code inconnu"))</f>
        <v/>
      </c>
      <c r="D299" s="23"/>
      <c r="E299" s="24"/>
      <c r="F299" s="21" t="str">
        <f aca="false">IF(OR($B299="",$D299=""),"",IFERROR(IF($D299="Entrée",INDEX(Produits!$E$5:$E$204,MATCH($B299,Produits!$A$5:$A$204,0)),INDEX(Produits!$F$5:$F$204,MATCH($B299,Produits!$A$5:$A$204,0))),""))</f>
        <v/>
      </c>
      <c r="G299" s="21" t="str">
        <f aca="false">IF(OR($F299="",$E299=""),"",$E299*$F299)</f>
        <v/>
      </c>
      <c r="H299" s="21" t="str">
        <f aca="false">IF(AND($D299="Sortie",$B299&lt;&gt;"",$E299&lt;&gt;""),IFERROR($E299*INDEX(Produits!$E$5:$E$204,MATCH($B299,Produits!$A$5:$A$204,0)),""),"")</f>
        <v/>
      </c>
      <c r="I299" s="23"/>
    </row>
    <row r="300" customFormat="false" ht="15" hidden="false" customHeight="false" outlineLevel="0" collapsed="false">
      <c r="A300" s="27"/>
      <c r="B300" s="23"/>
      <c r="C300" s="26" t="str">
        <f aca="false">IF($B300="","",IFERROR(INDEX(Produits!$B$5:$B$204,MATCH($B300,Produits!$A$5:$A$204,0)),"Code inconnu"))</f>
        <v/>
      </c>
      <c r="D300" s="23"/>
      <c r="E300" s="24"/>
      <c r="F300" s="21" t="str">
        <f aca="false">IF(OR($B300="",$D300=""),"",IFERROR(IF($D300="Entrée",INDEX(Produits!$E$5:$E$204,MATCH($B300,Produits!$A$5:$A$204,0)),INDEX(Produits!$F$5:$F$204,MATCH($B300,Produits!$A$5:$A$204,0))),""))</f>
        <v/>
      </c>
      <c r="G300" s="21" t="str">
        <f aca="false">IF(OR($F300="",$E300=""),"",$E300*$F300)</f>
        <v/>
      </c>
      <c r="H300" s="21" t="str">
        <f aca="false">IF(AND($D300="Sortie",$B300&lt;&gt;"",$E300&lt;&gt;""),IFERROR($E300*INDEX(Produits!$E$5:$E$204,MATCH($B300,Produits!$A$5:$A$204,0)),""),"")</f>
        <v/>
      </c>
      <c r="I300" s="23"/>
    </row>
    <row r="301" customFormat="false" ht="15" hidden="false" customHeight="false" outlineLevel="0" collapsed="false">
      <c r="A301" s="27"/>
      <c r="B301" s="23"/>
      <c r="C301" s="26" t="str">
        <f aca="false">IF($B301="","",IFERROR(INDEX(Produits!$B$5:$B$204,MATCH($B301,Produits!$A$5:$A$204,0)),"Code inconnu"))</f>
        <v/>
      </c>
      <c r="D301" s="23"/>
      <c r="E301" s="24"/>
      <c r="F301" s="21" t="str">
        <f aca="false">IF(OR($B301="",$D301=""),"",IFERROR(IF($D301="Entrée",INDEX(Produits!$E$5:$E$204,MATCH($B301,Produits!$A$5:$A$204,0)),INDEX(Produits!$F$5:$F$204,MATCH($B301,Produits!$A$5:$A$204,0))),""))</f>
        <v/>
      </c>
      <c r="G301" s="21" t="str">
        <f aca="false">IF(OR($F301="",$E301=""),"",$E301*$F301)</f>
        <v/>
      </c>
      <c r="H301" s="21" t="str">
        <f aca="false">IF(AND($D301="Sortie",$B301&lt;&gt;"",$E301&lt;&gt;""),IFERROR($E301*INDEX(Produits!$E$5:$E$204,MATCH($B301,Produits!$A$5:$A$204,0)),""),"")</f>
        <v/>
      </c>
      <c r="I301" s="23"/>
    </row>
    <row r="302" customFormat="false" ht="15" hidden="false" customHeight="false" outlineLevel="0" collapsed="false">
      <c r="A302" s="27"/>
      <c r="B302" s="23"/>
      <c r="C302" s="26" t="str">
        <f aca="false">IF($B302="","",IFERROR(INDEX(Produits!$B$5:$B$204,MATCH($B302,Produits!$A$5:$A$204,0)),"Code inconnu"))</f>
        <v/>
      </c>
      <c r="D302" s="23"/>
      <c r="E302" s="24"/>
      <c r="F302" s="21" t="str">
        <f aca="false">IF(OR($B302="",$D302=""),"",IFERROR(IF($D302="Entrée",INDEX(Produits!$E$5:$E$204,MATCH($B302,Produits!$A$5:$A$204,0)),INDEX(Produits!$F$5:$F$204,MATCH($B302,Produits!$A$5:$A$204,0))),""))</f>
        <v/>
      </c>
      <c r="G302" s="21" t="str">
        <f aca="false">IF(OR($F302="",$E302=""),"",$E302*$F302)</f>
        <v/>
      </c>
      <c r="H302" s="21" t="str">
        <f aca="false">IF(AND($D302="Sortie",$B302&lt;&gt;"",$E302&lt;&gt;""),IFERROR($E302*INDEX(Produits!$E$5:$E$204,MATCH($B302,Produits!$A$5:$A$204,0)),""),"")</f>
        <v/>
      </c>
      <c r="I302" s="23"/>
    </row>
    <row r="303" customFormat="false" ht="15" hidden="false" customHeight="false" outlineLevel="0" collapsed="false">
      <c r="A303" s="27"/>
      <c r="B303" s="23"/>
      <c r="C303" s="26" t="str">
        <f aca="false">IF($B303="","",IFERROR(INDEX(Produits!$B$5:$B$204,MATCH($B303,Produits!$A$5:$A$204,0)),"Code inconnu"))</f>
        <v/>
      </c>
      <c r="D303" s="23"/>
      <c r="E303" s="24"/>
      <c r="F303" s="21" t="str">
        <f aca="false">IF(OR($B303="",$D303=""),"",IFERROR(IF($D303="Entrée",INDEX(Produits!$E$5:$E$204,MATCH($B303,Produits!$A$5:$A$204,0)),INDEX(Produits!$F$5:$F$204,MATCH($B303,Produits!$A$5:$A$204,0))),""))</f>
        <v/>
      </c>
      <c r="G303" s="21" t="str">
        <f aca="false">IF(OR($F303="",$E303=""),"",$E303*$F303)</f>
        <v/>
      </c>
      <c r="H303" s="21" t="str">
        <f aca="false">IF(AND($D303="Sortie",$B303&lt;&gt;"",$E303&lt;&gt;""),IFERROR($E303*INDEX(Produits!$E$5:$E$204,MATCH($B303,Produits!$A$5:$A$204,0)),""),"")</f>
        <v/>
      </c>
      <c r="I303" s="23"/>
    </row>
    <row r="304" customFormat="false" ht="15" hidden="false" customHeight="false" outlineLevel="0" collapsed="false">
      <c r="A304" s="27"/>
      <c r="B304" s="23"/>
      <c r="C304" s="26" t="str">
        <f aca="false">IF($B304="","",IFERROR(INDEX(Produits!$B$5:$B$204,MATCH($B304,Produits!$A$5:$A$204,0)),"Code inconnu"))</f>
        <v/>
      </c>
      <c r="D304" s="23"/>
      <c r="E304" s="24"/>
      <c r="F304" s="21" t="str">
        <f aca="false">IF(OR($B304="",$D304=""),"",IFERROR(IF($D304="Entrée",INDEX(Produits!$E$5:$E$204,MATCH($B304,Produits!$A$5:$A$204,0)),INDEX(Produits!$F$5:$F$204,MATCH($B304,Produits!$A$5:$A$204,0))),""))</f>
        <v/>
      </c>
      <c r="G304" s="21" t="str">
        <f aca="false">IF(OR($F304="",$E304=""),"",$E304*$F304)</f>
        <v/>
      </c>
      <c r="H304" s="21" t="str">
        <f aca="false">IF(AND($D304="Sortie",$B304&lt;&gt;"",$E304&lt;&gt;""),IFERROR($E304*INDEX(Produits!$E$5:$E$204,MATCH($B304,Produits!$A$5:$A$204,0)),""),"")</f>
        <v/>
      </c>
      <c r="I304" s="23"/>
    </row>
    <row r="305" customFormat="false" ht="15" hidden="false" customHeight="false" outlineLevel="0" collapsed="false">
      <c r="A305" s="27"/>
      <c r="B305" s="23"/>
      <c r="C305" s="26" t="str">
        <f aca="false">IF($B305="","",IFERROR(INDEX(Produits!$B$5:$B$204,MATCH($B305,Produits!$A$5:$A$204,0)),"Code inconnu"))</f>
        <v/>
      </c>
      <c r="D305" s="23"/>
      <c r="E305" s="24"/>
      <c r="F305" s="21" t="str">
        <f aca="false">IF(OR($B305="",$D305=""),"",IFERROR(IF($D305="Entrée",INDEX(Produits!$E$5:$E$204,MATCH($B305,Produits!$A$5:$A$204,0)),INDEX(Produits!$F$5:$F$204,MATCH($B305,Produits!$A$5:$A$204,0))),""))</f>
        <v/>
      </c>
      <c r="G305" s="21" t="str">
        <f aca="false">IF(OR($F305="",$E305=""),"",$E305*$F305)</f>
        <v/>
      </c>
      <c r="H305" s="21" t="str">
        <f aca="false">IF(AND($D305="Sortie",$B305&lt;&gt;"",$E305&lt;&gt;""),IFERROR($E305*INDEX(Produits!$E$5:$E$204,MATCH($B305,Produits!$A$5:$A$204,0)),""),"")</f>
        <v/>
      </c>
      <c r="I305" s="23"/>
    </row>
    <row r="306" customFormat="false" ht="15" hidden="false" customHeight="false" outlineLevel="0" collapsed="false">
      <c r="A306" s="27"/>
      <c r="B306" s="23"/>
      <c r="C306" s="26" t="str">
        <f aca="false">IF($B306="","",IFERROR(INDEX(Produits!$B$5:$B$204,MATCH($B306,Produits!$A$5:$A$204,0)),"Code inconnu"))</f>
        <v/>
      </c>
      <c r="D306" s="23"/>
      <c r="E306" s="24"/>
      <c r="F306" s="21" t="str">
        <f aca="false">IF(OR($B306="",$D306=""),"",IFERROR(IF($D306="Entrée",INDEX(Produits!$E$5:$E$204,MATCH($B306,Produits!$A$5:$A$204,0)),INDEX(Produits!$F$5:$F$204,MATCH($B306,Produits!$A$5:$A$204,0))),""))</f>
        <v/>
      </c>
      <c r="G306" s="21" t="str">
        <f aca="false">IF(OR($F306="",$E306=""),"",$E306*$F306)</f>
        <v/>
      </c>
      <c r="H306" s="21" t="str">
        <f aca="false">IF(AND($D306="Sortie",$B306&lt;&gt;"",$E306&lt;&gt;""),IFERROR($E306*INDEX(Produits!$E$5:$E$204,MATCH($B306,Produits!$A$5:$A$204,0)),""),"")</f>
        <v/>
      </c>
      <c r="I306" s="23"/>
    </row>
    <row r="307" customFormat="false" ht="15" hidden="false" customHeight="false" outlineLevel="0" collapsed="false">
      <c r="A307" s="27"/>
      <c r="B307" s="23"/>
      <c r="C307" s="26" t="str">
        <f aca="false">IF($B307="","",IFERROR(INDEX(Produits!$B$5:$B$204,MATCH($B307,Produits!$A$5:$A$204,0)),"Code inconnu"))</f>
        <v/>
      </c>
      <c r="D307" s="23"/>
      <c r="E307" s="24"/>
      <c r="F307" s="21" t="str">
        <f aca="false">IF(OR($B307="",$D307=""),"",IFERROR(IF($D307="Entrée",INDEX(Produits!$E$5:$E$204,MATCH($B307,Produits!$A$5:$A$204,0)),INDEX(Produits!$F$5:$F$204,MATCH($B307,Produits!$A$5:$A$204,0))),""))</f>
        <v/>
      </c>
      <c r="G307" s="21" t="str">
        <f aca="false">IF(OR($F307="",$E307=""),"",$E307*$F307)</f>
        <v/>
      </c>
      <c r="H307" s="21" t="str">
        <f aca="false">IF(AND($D307="Sortie",$B307&lt;&gt;"",$E307&lt;&gt;""),IFERROR($E307*INDEX(Produits!$E$5:$E$204,MATCH($B307,Produits!$A$5:$A$204,0)),""),"")</f>
        <v/>
      </c>
      <c r="I307" s="23"/>
    </row>
    <row r="308" customFormat="false" ht="15" hidden="false" customHeight="false" outlineLevel="0" collapsed="false">
      <c r="A308" s="27"/>
      <c r="B308" s="23"/>
      <c r="C308" s="26" t="str">
        <f aca="false">IF($B308="","",IFERROR(INDEX(Produits!$B$5:$B$204,MATCH($B308,Produits!$A$5:$A$204,0)),"Code inconnu"))</f>
        <v/>
      </c>
      <c r="D308" s="23"/>
      <c r="E308" s="24"/>
      <c r="F308" s="21" t="str">
        <f aca="false">IF(OR($B308="",$D308=""),"",IFERROR(IF($D308="Entrée",INDEX(Produits!$E$5:$E$204,MATCH($B308,Produits!$A$5:$A$204,0)),INDEX(Produits!$F$5:$F$204,MATCH($B308,Produits!$A$5:$A$204,0))),""))</f>
        <v/>
      </c>
      <c r="G308" s="21" t="str">
        <f aca="false">IF(OR($F308="",$E308=""),"",$E308*$F308)</f>
        <v/>
      </c>
      <c r="H308" s="21" t="str">
        <f aca="false">IF(AND($D308="Sortie",$B308&lt;&gt;"",$E308&lt;&gt;""),IFERROR($E308*INDEX(Produits!$E$5:$E$204,MATCH($B308,Produits!$A$5:$A$204,0)),""),"")</f>
        <v/>
      </c>
      <c r="I308" s="23"/>
    </row>
    <row r="309" customFormat="false" ht="15" hidden="false" customHeight="false" outlineLevel="0" collapsed="false">
      <c r="A309" s="27"/>
      <c r="B309" s="23"/>
      <c r="C309" s="26" t="str">
        <f aca="false">IF($B309="","",IFERROR(INDEX(Produits!$B$5:$B$204,MATCH($B309,Produits!$A$5:$A$204,0)),"Code inconnu"))</f>
        <v/>
      </c>
      <c r="D309" s="23"/>
      <c r="E309" s="24"/>
      <c r="F309" s="21" t="str">
        <f aca="false">IF(OR($B309="",$D309=""),"",IFERROR(IF($D309="Entrée",INDEX(Produits!$E$5:$E$204,MATCH($B309,Produits!$A$5:$A$204,0)),INDEX(Produits!$F$5:$F$204,MATCH($B309,Produits!$A$5:$A$204,0))),""))</f>
        <v/>
      </c>
      <c r="G309" s="21" t="str">
        <f aca="false">IF(OR($F309="",$E309=""),"",$E309*$F309)</f>
        <v/>
      </c>
      <c r="H309" s="21" t="str">
        <f aca="false">IF(AND($D309="Sortie",$B309&lt;&gt;"",$E309&lt;&gt;""),IFERROR($E309*INDEX(Produits!$E$5:$E$204,MATCH($B309,Produits!$A$5:$A$204,0)),""),"")</f>
        <v/>
      </c>
      <c r="I309" s="23"/>
    </row>
    <row r="310" customFormat="false" ht="15" hidden="false" customHeight="false" outlineLevel="0" collapsed="false">
      <c r="A310" s="27"/>
      <c r="B310" s="23"/>
      <c r="C310" s="26" t="str">
        <f aca="false">IF($B310="","",IFERROR(INDEX(Produits!$B$5:$B$204,MATCH($B310,Produits!$A$5:$A$204,0)),"Code inconnu"))</f>
        <v/>
      </c>
      <c r="D310" s="23"/>
      <c r="E310" s="24"/>
      <c r="F310" s="21" t="str">
        <f aca="false">IF(OR($B310="",$D310=""),"",IFERROR(IF($D310="Entrée",INDEX(Produits!$E$5:$E$204,MATCH($B310,Produits!$A$5:$A$204,0)),INDEX(Produits!$F$5:$F$204,MATCH($B310,Produits!$A$5:$A$204,0))),""))</f>
        <v/>
      </c>
      <c r="G310" s="21" t="str">
        <f aca="false">IF(OR($F310="",$E310=""),"",$E310*$F310)</f>
        <v/>
      </c>
      <c r="H310" s="21" t="str">
        <f aca="false">IF(AND($D310="Sortie",$B310&lt;&gt;"",$E310&lt;&gt;""),IFERROR($E310*INDEX(Produits!$E$5:$E$204,MATCH($B310,Produits!$A$5:$A$204,0)),""),"")</f>
        <v/>
      </c>
      <c r="I310" s="23"/>
    </row>
    <row r="311" customFormat="false" ht="15" hidden="false" customHeight="false" outlineLevel="0" collapsed="false">
      <c r="A311" s="27"/>
      <c r="B311" s="23"/>
      <c r="C311" s="26" t="str">
        <f aca="false">IF($B311="","",IFERROR(INDEX(Produits!$B$5:$B$204,MATCH($B311,Produits!$A$5:$A$204,0)),"Code inconnu"))</f>
        <v/>
      </c>
      <c r="D311" s="23"/>
      <c r="E311" s="24"/>
      <c r="F311" s="21" t="str">
        <f aca="false">IF(OR($B311="",$D311=""),"",IFERROR(IF($D311="Entrée",INDEX(Produits!$E$5:$E$204,MATCH($B311,Produits!$A$5:$A$204,0)),INDEX(Produits!$F$5:$F$204,MATCH($B311,Produits!$A$5:$A$204,0))),""))</f>
        <v/>
      </c>
      <c r="G311" s="21" t="str">
        <f aca="false">IF(OR($F311="",$E311=""),"",$E311*$F311)</f>
        <v/>
      </c>
      <c r="H311" s="21" t="str">
        <f aca="false">IF(AND($D311="Sortie",$B311&lt;&gt;"",$E311&lt;&gt;""),IFERROR($E311*INDEX(Produits!$E$5:$E$204,MATCH($B311,Produits!$A$5:$A$204,0)),""),"")</f>
        <v/>
      </c>
      <c r="I311" s="23"/>
    </row>
    <row r="312" customFormat="false" ht="15" hidden="false" customHeight="false" outlineLevel="0" collapsed="false">
      <c r="A312" s="27"/>
      <c r="B312" s="23"/>
      <c r="C312" s="26" t="str">
        <f aca="false">IF($B312="","",IFERROR(INDEX(Produits!$B$5:$B$204,MATCH($B312,Produits!$A$5:$A$204,0)),"Code inconnu"))</f>
        <v/>
      </c>
      <c r="D312" s="23"/>
      <c r="E312" s="24"/>
      <c r="F312" s="21" t="str">
        <f aca="false">IF(OR($B312="",$D312=""),"",IFERROR(IF($D312="Entrée",INDEX(Produits!$E$5:$E$204,MATCH($B312,Produits!$A$5:$A$204,0)),INDEX(Produits!$F$5:$F$204,MATCH($B312,Produits!$A$5:$A$204,0))),""))</f>
        <v/>
      </c>
      <c r="G312" s="21" t="str">
        <f aca="false">IF(OR($F312="",$E312=""),"",$E312*$F312)</f>
        <v/>
      </c>
      <c r="H312" s="21" t="str">
        <f aca="false">IF(AND($D312="Sortie",$B312&lt;&gt;"",$E312&lt;&gt;""),IFERROR($E312*INDEX(Produits!$E$5:$E$204,MATCH($B312,Produits!$A$5:$A$204,0)),""),"")</f>
        <v/>
      </c>
      <c r="I312" s="23"/>
    </row>
    <row r="313" customFormat="false" ht="15" hidden="false" customHeight="false" outlineLevel="0" collapsed="false">
      <c r="A313" s="27"/>
      <c r="B313" s="23"/>
      <c r="C313" s="26" t="str">
        <f aca="false">IF($B313="","",IFERROR(INDEX(Produits!$B$5:$B$204,MATCH($B313,Produits!$A$5:$A$204,0)),"Code inconnu"))</f>
        <v/>
      </c>
      <c r="D313" s="23"/>
      <c r="E313" s="24"/>
      <c r="F313" s="21" t="str">
        <f aca="false">IF(OR($B313="",$D313=""),"",IFERROR(IF($D313="Entrée",INDEX(Produits!$E$5:$E$204,MATCH($B313,Produits!$A$5:$A$204,0)),INDEX(Produits!$F$5:$F$204,MATCH($B313,Produits!$A$5:$A$204,0))),""))</f>
        <v/>
      </c>
      <c r="G313" s="21" t="str">
        <f aca="false">IF(OR($F313="",$E313=""),"",$E313*$F313)</f>
        <v/>
      </c>
      <c r="H313" s="21" t="str">
        <f aca="false">IF(AND($D313="Sortie",$B313&lt;&gt;"",$E313&lt;&gt;""),IFERROR($E313*INDEX(Produits!$E$5:$E$204,MATCH($B313,Produits!$A$5:$A$204,0)),""),"")</f>
        <v/>
      </c>
      <c r="I313" s="23"/>
    </row>
    <row r="314" customFormat="false" ht="15" hidden="false" customHeight="false" outlineLevel="0" collapsed="false">
      <c r="A314" s="27"/>
      <c r="B314" s="23"/>
      <c r="C314" s="26" t="str">
        <f aca="false">IF($B314="","",IFERROR(INDEX(Produits!$B$5:$B$204,MATCH($B314,Produits!$A$5:$A$204,0)),"Code inconnu"))</f>
        <v/>
      </c>
      <c r="D314" s="23"/>
      <c r="E314" s="24"/>
      <c r="F314" s="21" t="str">
        <f aca="false">IF(OR($B314="",$D314=""),"",IFERROR(IF($D314="Entrée",INDEX(Produits!$E$5:$E$204,MATCH($B314,Produits!$A$5:$A$204,0)),INDEX(Produits!$F$5:$F$204,MATCH($B314,Produits!$A$5:$A$204,0))),""))</f>
        <v/>
      </c>
      <c r="G314" s="21" t="str">
        <f aca="false">IF(OR($F314="",$E314=""),"",$E314*$F314)</f>
        <v/>
      </c>
      <c r="H314" s="21" t="str">
        <f aca="false">IF(AND($D314="Sortie",$B314&lt;&gt;"",$E314&lt;&gt;""),IFERROR($E314*INDEX(Produits!$E$5:$E$204,MATCH($B314,Produits!$A$5:$A$204,0)),""),"")</f>
        <v/>
      </c>
      <c r="I314" s="23"/>
    </row>
    <row r="315" customFormat="false" ht="15" hidden="false" customHeight="false" outlineLevel="0" collapsed="false">
      <c r="A315" s="27"/>
      <c r="B315" s="23"/>
      <c r="C315" s="26" t="str">
        <f aca="false">IF($B315="","",IFERROR(INDEX(Produits!$B$5:$B$204,MATCH($B315,Produits!$A$5:$A$204,0)),"Code inconnu"))</f>
        <v/>
      </c>
      <c r="D315" s="23"/>
      <c r="E315" s="24"/>
      <c r="F315" s="21" t="str">
        <f aca="false">IF(OR($B315="",$D315=""),"",IFERROR(IF($D315="Entrée",INDEX(Produits!$E$5:$E$204,MATCH($B315,Produits!$A$5:$A$204,0)),INDEX(Produits!$F$5:$F$204,MATCH($B315,Produits!$A$5:$A$204,0))),""))</f>
        <v/>
      </c>
      <c r="G315" s="21" t="str">
        <f aca="false">IF(OR($F315="",$E315=""),"",$E315*$F315)</f>
        <v/>
      </c>
      <c r="H315" s="21" t="str">
        <f aca="false">IF(AND($D315="Sortie",$B315&lt;&gt;"",$E315&lt;&gt;""),IFERROR($E315*INDEX(Produits!$E$5:$E$204,MATCH($B315,Produits!$A$5:$A$204,0)),""),"")</f>
        <v/>
      </c>
      <c r="I315" s="23"/>
    </row>
    <row r="316" customFormat="false" ht="15" hidden="false" customHeight="false" outlineLevel="0" collapsed="false">
      <c r="A316" s="27"/>
      <c r="B316" s="23"/>
      <c r="C316" s="26" t="str">
        <f aca="false">IF($B316="","",IFERROR(INDEX(Produits!$B$5:$B$204,MATCH($B316,Produits!$A$5:$A$204,0)),"Code inconnu"))</f>
        <v/>
      </c>
      <c r="D316" s="23"/>
      <c r="E316" s="24"/>
      <c r="F316" s="21" t="str">
        <f aca="false">IF(OR($B316="",$D316=""),"",IFERROR(IF($D316="Entrée",INDEX(Produits!$E$5:$E$204,MATCH($B316,Produits!$A$5:$A$204,0)),INDEX(Produits!$F$5:$F$204,MATCH($B316,Produits!$A$5:$A$204,0))),""))</f>
        <v/>
      </c>
      <c r="G316" s="21" t="str">
        <f aca="false">IF(OR($F316="",$E316=""),"",$E316*$F316)</f>
        <v/>
      </c>
      <c r="H316" s="21" t="str">
        <f aca="false">IF(AND($D316="Sortie",$B316&lt;&gt;"",$E316&lt;&gt;""),IFERROR($E316*INDEX(Produits!$E$5:$E$204,MATCH($B316,Produits!$A$5:$A$204,0)),""),"")</f>
        <v/>
      </c>
      <c r="I316" s="23"/>
    </row>
    <row r="317" customFormat="false" ht="15" hidden="false" customHeight="false" outlineLevel="0" collapsed="false">
      <c r="A317" s="27"/>
      <c r="B317" s="23"/>
      <c r="C317" s="26" t="str">
        <f aca="false">IF($B317="","",IFERROR(INDEX(Produits!$B$5:$B$204,MATCH($B317,Produits!$A$5:$A$204,0)),"Code inconnu"))</f>
        <v/>
      </c>
      <c r="D317" s="23"/>
      <c r="E317" s="24"/>
      <c r="F317" s="21" t="str">
        <f aca="false">IF(OR($B317="",$D317=""),"",IFERROR(IF($D317="Entrée",INDEX(Produits!$E$5:$E$204,MATCH($B317,Produits!$A$5:$A$204,0)),INDEX(Produits!$F$5:$F$204,MATCH($B317,Produits!$A$5:$A$204,0))),""))</f>
        <v/>
      </c>
      <c r="G317" s="21" t="str">
        <f aca="false">IF(OR($F317="",$E317=""),"",$E317*$F317)</f>
        <v/>
      </c>
      <c r="H317" s="21" t="str">
        <f aca="false">IF(AND($D317="Sortie",$B317&lt;&gt;"",$E317&lt;&gt;""),IFERROR($E317*INDEX(Produits!$E$5:$E$204,MATCH($B317,Produits!$A$5:$A$204,0)),""),"")</f>
        <v/>
      </c>
      <c r="I317" s="23"/>
    </row>
    <row r="318" customFormat="false" ht="15" hidden="false" customHeight="false" outlineLevel="0" collapsed="false">
      <c r="A318" s="27"/>
      <c r="B318" s="23"/>
      <c r="C318" s="26" t="str">
        <f aca="false">IF($B318="","",IFERROR(INDEX(Produits!$B$5:$B$204,MATCH($B318,Produits!$A$5:$A$204,0)),"Code inconnu"))</f>
        <v/>
      </c>
      <c r="D318" s="23"/>
      <c r="E318" s="24"/>
      <c r="F318" s="21" t="str">
        <f aca="false">IF(OR($B318="",$D318=""),"",IFERROR(IF($D318="Entrée",INDEX(Produits!$E$5:$E$204,MATCH($B318,Produits!$A$5:$A$204,0)),INDEX(Produits!$F$5:$F$204,MATCH($B318,Produits!$A$5:$A$204,0))),""))</f>
        <v/>
      </c>
      <c r="G318" s="21" t="str">
        <f aca="false">IF(OR($F318="",$E318=""),"",$E318*$F318)</f>
        <v/>
      </c>
      <c r="H318" s="21" t="str">
        <f aca="false">IF(AND($D318="Sortie",$B318&lt;&gt;"",$E318&lt;&gt;""),IFERROR($E318*INDEX(Produits!$E$5:$E$204,MATCH($B318,Produits!$A$5:$A$204,0)),""),"")</f>
        <v/>
      </c>
      <c r="I318" s="23"/>
    </row>
    <row r="319" customFormat="false" ht="15" hidden="false" customHeight="false" outlineLevel="0" collapsed="false">
      <c r="A319" s="27"/>
      <c r="B319" s="23"/>
      <c r="C319" s="26" t="str">
        <f aca="false">IF($B319="","",IFERROR(INDEX(Produits!$B$5:$B$204,MATCH($B319,Produits!$A$5:$A$204,0)),"Code inconnu"))</f>
        <v/>
      </c>
      <c r="D319" s="23"/>
      <c r="E319" s="24"/>
      <c r="F319" s="21" t="str">
        <f aca="false">IF(OR($B319="",$D319=""),"",IFERROR(IF($D319="Entrée",INDEX(Produits!$E$5:$E$204,MATCH($B319,Produits!$A$5:$A$204,0)),INDEX(Produits!$F$5:$F$204,MATCH($B319,Produits!$A$5:$A$204,0))),""))</f>
        <v/>
      </c>
      <c r="G319" s="21" t="str">
        <f aca="false">IF(OR($F319="",$E319=""),"",$E319*$F319)</f>
        <v/>
      </c>
      <c r="H319" s="21" t="str">
        <f aca="false">IF(AND($D319="Sortie",$B319&lt;&gt;"",$E319&lt;&gt;""),IFERROR($E319*INDEX(Produits!$E$5:$E$204,MATCH($B319,Produits!$A$5:$A$204,0)),""),"")</f>
        <v/>
      </c>
      <c r="I319" s="23"/>
    </row>
    <row r="320" customFormat="false" ht="15" hidden="false" customHeight="false" outlineLevel="0" collapsed="false">
      <c r="A320" s="27"/>
      <c r="B320" s="23"/>
      <c r="C320" s="26" t="str">
        <f aca="false">IF($B320="","",IFERROR(INDEX(Produits!$B$5:$B$204,MATCH($B320,Produits!$A$5:$A$204,0)),"Code inconnu"))</f>
        <v/>
      </c>
      <c r="D320" s="23"/>
      <c r="E320" s="24"/>
      <c r="F320" s="21" t="str">
        <f aca="false">IF(OR($B320="",$D320=""),"",IFERROR(IF($D320="Entrée",INDEX(Produits!$E$5:$E$204,MATCH($B320,Produits!$A$5:$A$204,0)),INDEX(Produits!$F$5:$F$204,MATCH($B320,Produits!$A$5:$A$204,0))),""))</f>
        <v/>
      </c>
      <c r="G320" s="21" t="str">
        <f aca="false">IF(OR($F320="",$E320=""),"",$E320*$F320)</f>
        <v/>
      </c>
      <c r="H320" s="21" t="str">
        <f aca="false">IF(AND($D320="Sortie",$B320&lt;&gt;"",$E320&lt;&gt;""),IFERROR($E320*INDEX(Produits!$E$5:$E$204,MATCH($B320,Produits!$A$5:$A$204,0)),""),"")</f>
        <v/>
      </c>
      <c r="I320" s="23"/>
    </row>
    <row r="321" customFormat="false" ht="15" hidden="false" customHeight="false" outlineLevel="0" collapsed="false">
      <c r="A321" s="27"/>
      <c r="B321" s="23"/>
      <c r="C321" s="26" t="str">
        <f aca="false">IF($B321="","",IFERROR(INDEX(Produits!$B$5:$B$204,MATCH($B321,Produits!$A$5:$A$204,0)),"Code inconnu"))</f>
        <v/>
      </c>
      <c r="D321" s="23"/>
      <c r="E321" s="24"/>
      <c r="F321" s="21" t="str">
        <f aca="false">IF(OR($B321="",$D321=""),"",IFERROR(IF($D321="Entrée",INDEX(Produits!$E$5:$E$204,MATCH($B321,Produits!$A$5:$A$204,0)),INDEX(Produits!$F$5:$F$204,MATCH($B321,Produits!$A$5:$A$204,0))),""))</f>
        <v/>
      </c>
      <c r="G321" s="21" t="str">
        <f aca="false">IF(OR($F321="",$E321=""),"",$E321*$F321)</f>
        <v/>
      </c>
      <c r="H321" s="21" t="str">
        <f aca="false">IF(AND($D321="Sortie",$B321&lt;&gt;"",$E321&lt;&gt;""),IFERROR($E321*INDEX(Produits!$E$5:$E$204,MATCH($B321,Produits!$A$5:$A$204,0)),""),"")</f>
        <v/>
      </c>
      <c r="I321" s="23"/>
    </row>
    <row r="322" customFormat="false" ht="15" hidden="false" customHeight="false" outlineLevel="0" collapsed="false">
      <c r="A322" s="27"/>
      <c r="B322" s="23"/>
      <c r="C322" s="26" t="str">
        <f aca="false">IF($B322="","",IFERROR(INDEX(Produits!$B$5:$B$204,MATCH($B322,Produits!$A$5:$A$204,0)),"Code inconnu"))</f>
        <v/>
      </c>
      <c r="D322" s="23"/>
      <c r="E322" s="24"/>
      <c r="F322" s="21" t="str">
        <f aca="false">IF(OR($B322="",$D322=""),"",IFERROR(IF($D322="Entrée",INDEX(Produits!$E$5:$E$204,MATCH($B322,Produits!$A$5:$A$204,0)),INDEX(Produits!$F$5:$F$204,MATCH($B322,Produits!$A$5:$A$204,0))),""))</f>
        <v/>
      </c>
      <c r="G322" s="21" t="str">
        <f aca="false">IF(OR($F322="",$E322=""),"",$E322*$F322)</f>
        <v/>
      </c>
      <c r="H322" s="21" t="str">
        <f aca="false">IF(AND($D322="Sortie",$B322&lt;&gt;"",$E322&lt;&gt;""),IFERROR($E322*INDEX(Produits!$E$5:$E$204,MATCH($B322,Produits!$A$5:$A$204,0)),""),"")</f>
        <v/>
      </c>
      <c r="I322" s="23"/>
    </row>
    <row r="323" customFormat="false" ht="15" hidden="false" customHeight="false" outlineLevel="0" collapsed="false">
      <c r="A323" s="27"/>
      <c r="B323" s="23"/>
      <c r="C323" s="26" t="str">
        <f aca="false">IF($B323="","",IFERROR(INDEX(Produits!$B$5:$B$204,MATCH($B323,Produits!$A$5:$A$204,0)),"Code inconnu"))</f>
        <v/>
      </c>
      <c r="D323" s="23"/>
      <c r="E323" s="24"/>
      <c r="F323" s="21" t="str">
        <f aca="false">IF(OR($B323="",$D323=""),"",IFERROR(IF($D323="Entrée",INDEX(Produits!$E$5:$E$204,MATCH($B323,Produits!$A$5:$A$204,0)),INDEX(Produits!$F$5:$F$204,MATCH($B323,Produits!$A$5:$A$204,0))),""))</f>
        <v/>
      </c>
      <c r="G323" s="21" t="str">
        <f aca="false">IF(OR($F323="",$E323=""),"",$E323*$F323)</f>
        <v/>
      </c>
      <c r="H323" s="21" t="str">
        <f aca="false">IF(AND($D323="Sortie",$B323&lt;&gt;"",$E323&lt;&gt;""),IFERROR($E323*INDEX(Produits!$E$5:$E$204,MATCH($B323,Produits!$A$5:$A$204,0)),""),"")</f>
        <v/>
      </c>
      <c r="I323" s="23"/>
    </row>
    <row r="324" customFormat="false" ht="15" hidden="false" customHeight="false" outlineLevel="0" collapsed="false">
      <c r="A324" s="27"/>
      <c r="B324" s="23"/>
      <c r="C324" s="26" t="str">
        <f aca="false">IF($B324="","",IFERROR(INDEX(Produits!$B$5:$B$204,MATCH($B324,Produits!$A$5:$A$204,0)),"Code inconnu"))</f>
        <v/>
      </c>
      <c r="D324" s="23"/>
      <c r="E324" s="24"/>
      <c r="F324" s="21" t="str">
        <f aca="false">IF(OR($B324="",$D324=""),"",IFERROR(IF($D324="Entrée",INDEX(Produits!$E$5:$E$204,MATCH($B324,Produits!$A$5:$A$204,0)),INDEX(Produits!$F$5:$F$204,MATCH($B324,Produits!$A$5:$A$204,0))),""))</f>
        <v/>
      </c>
      <c r="G324" s="21" t="str">
        <f aca="false">IF(OR($F324="",$E324=""),"",$E324*$F324)</f>
        <v/>
      </c>
      <c r="H324" s="21" t="str">
        <f aca="false">IF(AND($D324="Sortie",$B324&lt;&gt;"",$E324&lt;&gt;""),IFERROR($E324*INDEX(Produits!$E$5:$E$204,MATCH($B324,Produits!$A$5:$A$204,0)),""),"")</f>
        <v/>
      </c>
      <c r="I324" s="23"/>
    </row>
    <row r="325" customFormat="false" ht="15" hidden="false" customHeight="false" outlineLevel="0" collapsed="false">
      <c r="A325" s="27"/>
      <c r="B325" s="23"/>
      <c r="C325" s="26" t="str">
        <f aca="false">IF($B325="","",IFERROR(INDEX(Produits!$B$5:$B$204,MATCH($B325,Produits!$A$5:$A$204,0)),"Code inconnu"))</f>
        <v/>
      </c>
      <c r="D325" s="23"/>
      <c r="E325" s="24"/>
      <c r="F325" s="21" t="str">
        <f aca="false">IF(OR($B325="",$D325=""),"",IFERROR(IF($D325="Entrée",INDEX(Produits!$E$5:$E$204,MATCH($B325,Produits!$A$5:$A$204,0)),INDEX(Produits!$F$5:$F$204,MATCH($B325,Produits!$A$5:$A$204,0))),""))</f>
        <v/>
      </c>
      <c r="G325" s="21" t="str">
        <f aca="false">IF(OR($F325="",$E325=""),"",$E325*$F325)</f>
        <v/>
      </c>
      <c r="H325" s="21" t="str">
        <f aca="false">IF(AND($D325="Sortie",$B325&lt;&gt;"",$E325&lt;&gt;""),IFERROR($E325*INDEX(Produits!$E$5:$E$204,MATCH($B325,Produits!$A$5:$A$204,0)),""),"")</f>
        <v/>
      </c>
      <c r="I325" s="23"/>
    </row>
    <row r="326" customFormat="false" ht="15" hidden="false" customHeight="false" outlineLevel="0" collapsed="false">
      <c r="A326" s="27"/>
      <c r="B326" s="23"/>
      <c r="C326" s="26" t="str">
        <f aca="false">IF($B326="","",IFERROR(INDEX(Produits!$B$5:$B$204,MATCH($B326,Produits!$A$5:$A$204,0)),"Code inconnu"))</f>
        <v/>
      </c>
      <c r="D326" s="23"/>
      <c r="E326" s="24"/>
      <c r="F326" s="21" t="str">
        <f aca="false">IF(OR($B326="",$D326=""),"",IFERROR(IF($D326="Entrée",INDEX(Produits!$E$5:$E$204,MATCH($B326,Produits!$A$5:$A$204,0)),INDEX(Produits!$F$5:$F$204,MATCH($B326,Produits!$A$5:$A$204,0))),""))</f>
        <v/>
      </c>
      <c r="G326" s="21" t="str">
        <f aca="false">IF(OR($F326="",$E326=""),"",$E326*$F326)</f>
        <v/>
      </c>
      <c r="H326" s="21" t="str">
        <f aca="false">IF(AND($D326="Sortie",$B326&lt;&gt;"",$E326&lt;&gt;""),IFERROR($E326*INDEX(Produits!$E$5:$E$204,MATCH($B326,Produits!$A$5:$A$204,0)),""),"")</f>
        <v/>
      </c>
      <c r="I326" s="23"/>
    </row>
    <row r="327" customFormat="false" ht="15" hidden="false" customHeight="false" outlineLevel="0" collapsed="false">
      <c r="A327" s="27"/>
      <c r="B327" s="23"/>
      <c r="C327" s="26" t="str">
        <f aca="false">IF($B327="","",IFERROR(INDEX(Produits!$B$5:$B$204,MATCH($B327,Produits!$A$5:$A$204,0)),"Code inconnu"))</f>
        <v/>
      </c>
      <c r="D327" s="23"/>
      <c r="E327" s="24"/>
      <c r="F327" s="21" t="str">
        <f aca="false">IF(OR($B327="",$D327=""),"",IFERROR(IF($D327="Entrée",INDEX(Produits!$E$5:$E$204,MATCH($B327,Produits!$A$5:$A$204,0)),INDEX(Produits!$F$5:$F$204,MATCH($B327,Produits!$A$5:$A$204,0))),""))</f>
        <v/>
      </c>
      <c r="G327" s="21" t="str">
        <f aca="false">IF(OR($F327="",$E327=""),"",$E327*$F327)</f>
        <v/>
      </c>
      <c r="H327" s="21" t="str">
        <f aca="false">IF(AND($D327="Sortie",$B327&lt;&gt;"",$E327&lt;&gt;""),IFERROR($E327*INDEX(Produits!$E$5:$E$204,MATCH($B327,Produits!$A$5:$A$204,0)),""),"")</f>
        <v/>
      </c>
      <c r="I327" s="23"/>
    </row>
    <row r="328" customFormat="false" ht="15" hidden="false" customHeight="false" outlineLevel="0" collapsed="false">
      <c r="A328" s="27"/>
      <c r="B328" s="23"/>
      <c r="C328" s="26" t="str">
        <f aca="false">IF($B328="","",IFERROR(INDEX(Produits!$B$5:$B$204,MATCH($B328,Produits!$A$5:$A$204,0)),"Code inconnu"))</f>
        <v/>
      </c>
      <c r="D328" s="23"/>
      <c r="E328" s="24"/>
      <c r="F328" s="21" t="str">
        <f aca="false">IF(OR($B328="",$D328=""),"",IFERROR(IF($D328="Entrée",INDEX(Produits!$E$5:$E$204,MATCH($B328,Produits!$A$5:$A$204,0)),INDEX(Produits!$F$5:$F$204,MATCH($B328,Produits!$A$5:$A$204,0))),""))</f>
        <v/>
      </c>
      <c r="G328" s="21" t="str">
        <f aca="false">IF(OR($F328="",$E328=""),"",$E328*$F328)</f>
        <v/>
      </c>
      <c r="H328" s="21" t="str">
        <f aca="false">IF(AND($D328="Sortie",$B328&lt;&gt;"",$E328&lt;&gt;""),IFERROR($E328*INDEX(Produits!$E$5:$E$204,MATCH($B328,Produits!$A$5:$A$204,0)),""),"")</f>
        <v/>
      </c>
      <c r="I328" s="23"/>
    </row>
    <row r="329" customFormat="false" ht="15" hidden="false" customHeight="false" outlineLevel="0" collapsed="false">
      <c r="A329" s="27"/>
      <c r="B329" s="23"/>
      <c r="C329" s="26" t="str">
        <f aca="false">IF($B329="","",IFERROR(INDEX(Produits!$B$5:$B$204,MATCH($B329,Produits!$A$5:$A$204,0)),"Code inconnu"))</f>
        <v/>
      </c>
      <c r="D329" s="23"/>
      <c r="E329" s="24"/>
      <c r="F329" s="21" t="str">
        <f aca="false">IF(OR($B329="",$D329=""),"",IFERROR(IF($D329="Entrée",INDEX(Produits!$E$5:$E$204,MATCH($B329,Produits!$A$5:$A$204,0)),INDEX(Produits!$F$5:$F$204,MATCH($B329,Produits!$A$5:$A$204,0))),""))</f>
        <v/>
      </c>
      <c r="G329" s="21" t="str">
        <f aca="false">IF(OR($F329="",$E329=""),"",$E329*$F329)</f>
        <v/>
      </c>
      <c r="H329" s="21" t="str">
        <f aca="false">IF(AND($D329="Sortie",$B329&lt;&gt;"",$E329&lt;&gt;""),IFERROR($E329*INDEX(Produits!$E$5:$E$204,MATCH($B329,Produits!$A$5:$A$204,0)),""),"")</f>
        <v/>
      </c>
      <c r="I329" s="23"/>
    </row>
    <row r="330" customFormat="false" ht="15" hidden="false" customHeight="false" outlineLevel="0" collapsed="false">
      <c r="A330" s="27"/>
      <c r="B330" s="23"/>
      <c r="C330" s="26" t="str">
        <f aca="false">IF($B330="","",IFERROR(INDEX(Produits!$B$5:$B$204,MATCH($B330,Produits!$A$5:$A$204,0)),"Code inconnu"))</f>
        <v/>
      </c>
      <c r="D330" s="23"/>
      <c r="E330" s="24"/>
      <c r="F330" s="21" t="str">
        <f aca="false">IF(OR($B330="",$D330=""),"",IFERROR(IF($D330="Entrée",INDEX(Produits!$E$5:$E$204,MATCH($B330,Produits!$A$5:$A$204,0)),INDEX(Produits!$F$5:$F$204,MATCH($B330,Produits!$A$5:$A$204,0))),""))</f>
        <v/>
      </c>
      <c r="G330" s="21" t="str">
        <f aca="false">IF(OR($F330="",$E330=""),"",$E330*$F330)</f>
        <v/>
      </c>
      <c r="H330" s="21" t="str">
        <f aca="false">IF(AND($D330="Sortie",$B330&lt;&gt;"",$E330&lt;&gt;""),IFERROR($E330*INDEX(Produits!$E$5:$E$204,MATCH($B330,Produits!$A$5:$A$204,0)),""),"")</f>
        <v/>
      </c>
      <c r="I330" s="23"/>
    </row>
    <row r="331" customFormat="false" ht="15" hidden="false" customHeight="false" outlineLevel="0" collapsed="false">
      <c r="A331" s="27"/>
      <c r="B331" s="23"/>
      <c r="C331" s="26" t="str">
        <f aca="false">IF($B331="","",IFERROR(INDEX(Produits!$B$5:$B$204,MATCH($B331,Produits!$A$5:$A$204,0)),"Code inconnu"))</f>
        <v/>
      </c>
      <c r="D331" s="23"/>
      <c r="E331" s="24"/>
      <c r="F331" s="21" t="str">
        <f aca="false">IF(OR($B331="",$D331=""),"",IFERROR(IF($D331="Entrée",INDEX(Produits!$E$5:$E$204,MATCH($B331,Produits!$A$5:$A$204,0)),INDEX(Produits!$F$5:$F$204,MATCH($B331,Produits!$A$5:$A$204,0))),""))</f>
        <v/>
      </c>
      <c r="G331" s="21" t="str">
        <f aca="false">IF(OR($F331="",$E331=""),"",$E331*$F331)</f>
        <v/>
      </c>
      <c r="H331" s="21" t="str">
        <f aca="false">IF(AND($D331="Sortie",$B331&lt;&gt;"",$E331&lt;&gt;""),IFERROR($E331*INDEX(Produits!$E$5:$E$204,MATCH($B331,Produits!$A$5:$A$204,0)),""),"")</f>
        <v/>
      </c>
      <c r="I331" s="23"/>
    </row>
    <row r="332" customFormat="false" ht="15" hidden="false" customHeight="false" outlineLevel="0" collapsed="false">
      <c r="A332" s="27"/>
      <c r="B332" s="23"/>
      <c r="C332" s="26" t="str">
        <f aca="false">IF($B332="","",IFERROR(INDEX(Produits!$B$5:$B$204,MATCH($B332,Produits!$A$5:$A$204,0)),"Code inconnu"))</f>
        <v/>
      </c>
      <c r="D332" s="23"/>
      <c r="E332" s="24"/>
      <c r="F332" s="21" t="str">
        <f aca="false">IF(OR($B332="",$D332=""),"",IFERROR(IF($D332="Entrée",INDEX(Produits!$E$5:$E$204,MATCH($B332,Produits!$A$5:$A$204,0)),INDEX(Produits!$F$5:$F$204,MATCH($B332,Produits!$A$5:$A$204,0))),""))</f>
        <v/>
      </c>
      <c r="G332" s="21" t="str">
        <f aca="false">IF(OR($F332="",$E332=""),"",$E332*$F332)</f>
        <v/>
      </c>
      <c r="H332" s="21" t="str">
        <f aca="false">IF(AND($D332="Sortie",$B332&lt;&gt;"",$E332&lt;&gt;""),IFERROR($E332*INDEX(Produits!$E$5:$E$204,MATCH($B332,Produits!$A$5:$A$204,0)),""),"")</f>
        <v/>
      </c>
      <c r="I332" s="23"/>
    </row>
    <row r="333" customFormat="false" ht="15" hidden="false" customHeight="false" outlineLevel="0" collapsed="false">
      <c r="A333" s="27"/>
      <c r="B333" s="23"/>
      <c r="C333" s="26" t="str">
        <f aca="false">IF($B333="","",IFERROR(INDEX(Produits!$B$5:$B$204,MATCH($B333,Produits!$A$5:$A$204,0)),"Code inconnu"))</f>
        <v/>
      </c>
      <c r="D333" s="23"/>
      <c r="E333" s="24"/>
      <c r="F333" s="21" t="str">
        <f aca="false">IF(OR($B333="",$D333=""),"",IFERROR(IF($D333="Entrée",INDEX(Produits!$E$5:$E$204,MATCH($B333,Produits!$A$5:$A$204,0)),INDEX(Produits!$F$5:$F$204,MATCH($B333,Produits!$A$5:$A$204,0))),""))</f>
        <v/>
      </c>
      <c r="G333" s="21" t="str">
        <f aca="false">IF(OR($F333="",$E333=""),"",$E333*$F333)</f>
        <v/>
      </c>
      <c r="H333" s="21" t="str">
        <f aca="false">IF(AND($D333="Sortie",$B333&lt;&gt;"",$E333&lt;&gt;""),IFERROR($E333*INDEX(Produits!$E$5:$E$204,MATCH($B333,Produits!$A$5:$A$204,0)),""),"")</f>
        <v/>
      </c>
      <c r="I333" s="23"/>
    </row>
    <row r="334" customFormat="false" ht="15" hidden="false" customHeight="false" outlineLevel="0" collapsed="false">
      <c r="A334" s="27"/>
      <c r="B334" s="23"/>
      <c r="C334" s="26" t="str">
        <f aca="false">IF($B334="","",IFERROR(INDEX(Produits!$B$5:$B$204,MATCH($B334,Produits!$A$5:$A$204,0)),"Code inconnu"))</f>
        <v/>
      </c>
      <c r="D334" s="23"/>
      <c r="E334" s="24"/>
      <c r="F334" s="21" t="str">
        <f aca="false">IF(OR($B334="",$D334=""),"",IFERROR(IF($D334="Entrée",INDEX(Produits!$E$5:$E$204,MATCH($B334,Produits!$A$5:$A$204,0)),INDEX(Produits!$F$5:$F$204,MATCH($B334,Produits!$A$5:$A$204,0))),""))</f>
        <v/>
      </c>
      <c r="G334" s="21" t="str">
        <f aca="false">IF(OR($F334="",$E334=""),"",$E334*$F334)</f>
        <v/>
      </c>
      <c r="H334" s="21" t="str">
        <f aca="false">IF(AND($D334="Sortie",$B334&lt;&gt;"",$E334&lt;&gt;""),IFERROR($E334*INDEX(Produits!$E$5:$E$204,MATCH($B334,Produits!$A$5:$A$204,0)),""),"")</f>
        <v/>
      </c>
      <c r="I334" s="23"/>
    </row>
    <row r="335" customFormat="false" ht="15" hidden="false" customHeight="false" outlineLevel="0" collapsed="false">
      <c r="A335" s="27"/>
      <c r="B335" s="23"/>
      <c r="C335" s="26" t="str">
        <f aca="false">IF($B335="","",IFERROR(INDEX(Produits!$B$5:$B$204,MATCH($B335,Produits!$A$5:$A$204,0)),"Code inconnu"))</f>
        <v/>
      </c>
      <c r="D335" s="23"/>
      <c r="E335" s="24"/>
      <c r="F335" s="21" t="str">
        <f aca="false">IF(OR($B335="",$D335=""),"",IFERROR(IF($D335="Entrée",INDEX(Produits!$E$5:$E$204,MATCH($B335,Produits!$A$5:$A$204,0)),INDEX(Produits!$F$5:$F$204,MATCH($B335,Produits!$A$5:$A$204,0))),""))</f>
        <v/>
      </c>
      <c r="G335" s="21" t="str">
        <f aca="false">IF(OR($F335="",$E335=""),"",$E335*$F335)</f>
        <v/>
      </c>
      <c r="H335" s="21" t="str">
        <f aca="false">IF(AND($D335="Sortie",$B335&lt;&gt;"",$E335&lt;&gt;""),IFERROR($E335*INDEX(Produits!$E$5:$E$204,MATCH($B335,Produits!$A$5:$A$204,0)),""),"")</f>
        <v/>
      </c>
      <c r="I335" s="23"/>
    </row>
    <row r="336" customFormat="false" ht="15" hidden="false" customHeight="false" outlineLevel="0" collapsed="false">
      <c r="A336" s="27"/>
      <c r="B336" s="23"/>
      <c r="C336" s="26" t="str">
        <f aca="false">IF($B336="","",IFERROR(INDEX(Produits!$B$5:$B$204,MATCH($B336,Produits!$A$5:$A$204,0)),"Code inconnu"))</f>
        <v/>
      </c>
      <c r="D336" s="23"/>
      <c r="E336" s="24"/>
      <c r="F336" s="21" t="str">
        <f aca="false">IF(OR($B336="",$D336=""),"",IFERROR(IF($D336="Entrée",INDEX(Produits!$E$5:$E$204,MATCH($B336,Produits!$A$5:$A$204,0)),INDEX(Produits!$F$5:$F$204,MATCH($B336,Produits!$A$5:$A$204,0))),""))</f>
        <v/>
      </c>
      <c r="G336" s="21" t="str">
        <f aca="false">IF(OR($F336="",$E336=""),"",$E336*$F336)</f>
        <v/>
      </c>
      <c r="H336" s="21" t="str">
        <f aca="false">IF(AND($D336="Sortie",$B336&lt;&gt;"",$E336&lt;&gt;""),IFERROR($E336*INDEX(Produits!$E$5:$E$204,MATCH($B336,Produits!$A$5:$A$204,0)),""),"")</f>
        <v/>
      </c>
      <c r="I336" s="23"/>
    </row>
    <row r="337" customFormat="false" ht="15" hidden="false" customHeight="false" outlineLevel="0" collapsed="false">
      <c r="A337" s="27"/>
      <c r="B337" s="23"/>
      <c r="C337" s="26" t="str">
        <f aca="false">IF($B337="","",IFERROR(INDEX(Produits!$B$5:$B$204,MATCH($B337,Produits!$A$5:$A$204,0)),"Code inconnu"))</f>
        <v/>
      </c>
      <c r="D337" s="23"/>
      <c r="E337" s="24"/>
      <c r="F337" s="21" t="str">
        <f aca="false">IF(OR($B337="",$D337=""),"",IFERROR(IF($D337="Entrée",INDEX(Produits!$E$5:$E$204,MATCH($B337,Produits!$A$5:$A$204,0)),INDEX(Produits!$F$5:$F$204,MATCH($B337,Produits!$A$5:$A$204,0))),""))</f>
        <v/>
      </c>
      <c r="G337" s="21" t="str">
        <f aca="false">IF(OR($F337="",$E337=""),"",$E337*$F337)</f>
        <v/>
      </c>
      <c r="H337" s="21" t="str">
        <f aca="false">IF(AND($D337="Sortie",$B337&lt;&gt;"",$E337&lt;&gt;""),IFERROR($E337*INDEX(Produits!$E$5:$E$204,MATCH($B337,Produits!$A$5:$A$204,0)),""),"")</f>
        <v/>
      </c>
      <c r="I337" s="23"/>
    </row>
    <row r="338" customFormat="false" ht="15" hidden="false" customHeight="false" outlineLevel="0" collapsed="false">
      <c r="A338" s="27"/>
      <c r="B338" s="23"/>
      <c r="C338" s="26" t="str">
        <f aca="false">IF($B338="","",IFERROR(INDEX(Produits!$B$5:$B$204,MATCH($B338,Produits!$A$5:$A$204,0)),"Code inconnu"))</f>
        <v/>
      </c>
      <c r="D338" s="23"/>
      <c r="E338" s="24"/>
      <c r="F338" s="21" t="str">
        <f aca="false">IF(OR($B338="",$D338=""),"",IFERROR(IF($D338="Entrée",INDEX(Produits!$E$5:$E$204,MATCH($B338,Produits!$A$5:$A$204,0)),INDEX(Produits!$F$5:$F$204,MATCH($B338,Produits!$A$5:$A$204,0))),""))</f>
        <v/>
      </c>
      <c r="G338" s="21" t="str">
        <f aca="false">IF(OR($F338="",$E338=""),"",$E338*$F338)</f>
        <v/>
      </c>
      <c r="H338" s="21" t="str">
        <f aca="false">IF(AND($D338="Sortie",$B338&lt;&gt;"",$E338&lt;&gt;""),IFERROR($E338*INDEX(Produits!$E$5:$E$204,MATCH($B338,Produits!$A$5:$A$204,0)),""),"")</f>
        <v/>
      </c>
      <c r="I338" s="23"/>
    </row>
    <row r="339" customFormat="false" ht="15" hidden="false" customHeight="false" outlineLevel="0" collapsed="false">
      <c r="A339" s="27"/>
      <c r="B339" s="23"/>
      <c r="C339" s="26" t="str">
        <f aca="false">IF($B339="","",IFERROR(INDEX(Produits!$B$5:$B$204,MATCH($B339,Produits!$A$5:$A$204,0)),"Code inconnu"))</f>
        <v/>
      </c>
      <c r="D339" s="23"/>
      <c r="E339" s="24"/>
      <c r="F339" s="21" t="str">
        <f aca="false">IF(OR($B339="",$D339=""),"",IFERROR(IF($D339="Entrée",INDEX(Produits!$E$5:$E$204,MATCH($B339,Produits!$A$5:$A$204,0)),INDEX(Produits!$F$5:$F$204,MATCH($B339,Produits!$A$5:$A$204,0))),""))</f>
        <v/>
      </c>
      <c r="G339" s="21" t="str">
        <f aca="false">IF(OR($F339="",$E339=""),"",$E339*$F339)</f>
        <v/>
      </c>
      <c r="H339" s="21" t="str">
        <f aca="false">IF(AND($D339="Sortie",$B339&lt;&gt;"",$E339&lt;&gt;""),IFERROR($E339*INDEX(Produits!$E$5:$E$204,MATCH($B339,Produits!$A$5:$A$204,0)),""),"")</f>
        <v/>
      </c>
      <c r="I339" s="23"/>
    </row>
    <row r="340" customFormat="false" ht="15" hidden="false" customHeight="false" outlineLevel="0" collapsed="false">
      <c r="A340" s="27"/>
      <c r="B340" s="23"/>
      <c r="C340" s="26" t="str">
        <f aca="false">IF($B340="","",IFERROR(INDEX(Produits!$B$5:$B$204,MATCH($B340,Produits!$A$5:$A$204,0)),"Code inconnu"))</f>
        <v/>
      </c>
      <c r="D340" s="23"/>
      <c r="E340" s="24"/>
      <c r="F340" s="21" t="str">
        <f aca="false">IF(OR($B340="",$D340=""),"",IFERROR(IF($D340="Entrée",INDEX(Produits!$E$5:$E$204,MATCH($B340,Produits!$A$5:$A$204,0)),INDEX(Produits!$F$5:$F$204,MATCH($B340,Produits!$A$5:$A$204,0))),""))</f>
        <v/>
      </c>
      <c r="G340" s="21" t="str">
        <f aca="false">IF(OR($F340="",$E340=""),"",$E340*$F340)</f>
        <v/>
      </c>
      <c r="H340" s="21" t="str">
        <f aca="false">IF(AND($D340="Sortie",$B340&lt;&gt;"",$E340&lt;&gt;""),IFERROR($E340*INDEX(Produits!$E$5:$E$204,MATCH($B340,Produits!$A$5:$A$204,0)),""),"")</f>
        <v/>
      </c>
      <c r="I340" s="23"/>
    </row>
    <row r="341" customFormat="false" ht="15" hidden="false" customHeight="false" outlineLevel="0" collapsed="false">
      <c r="A341" s="27"/>
      <c r="B341" s="23"/>
      <c r="C341" s="26" t="str">
        <f aca="false">IF($B341="","",IFERROR(INDEX(Produits!$B$5:$B$204,MATCH($B341,Produits!$A$5:$A$204,0)),"Code inconnu"))</f>
        <v/>
      </c>
      <c r="D341" s="23"/>
      <c r="E341" s="24"/>
      <c r="F341" s="21" t="str">
        <f aca="false">IF(OR($B341="",$D341=""),"",IFERROR(IF($D341="Entrée",INDEX(Produits!$E$5:$E$204,MATCH($B341,Produits!$A$5:$A$204,0)),INDEX(Produits!$F$5:$F$204,MATCH($B341,Produits!$A$5:$A$204,0))),""))</f>
        <v/>
      </c>
      <c r="G341" s="21" t="str">
        <f aca="false">IF(OR($F341="",$E341=""),"",$E341*$F341)</f>
        <v/>
      </c>
      <c r="H341" s="21" t="str">
        <f aca="false">IF(AND($D341="Sortie",$B341&lt;&gt;"",$E341&lt;&gt;""),IFERROR($E341*INDEX(Produits!$E$5:$E$204,MATCH($B341,Produits!$A$5:$A$204,0)),""),"")</f>
        <v/>
      </c>
      <c r="I341" s="23"/>
    </row>
    <row r="342" customFormat="false" ht="15" hidden="false" customHeight="false" outlineLevel="0" collapsed="false">
      <c r="A342" s="27"/>
      <c r="B342" s="23"/>
      <c r="C342" s="26" t="str">
        <f aca="false">IF($B342="","",IFERROR(INDEX(Produits!$B$5:$B$204,MATCH($B342,Produits!$A$5:$A$204,0)),"Code inconnu"))</f>
        <v/>
      </c>
      <c r="D342" s="23"/>
      <c r="E342" s="24"/>
      <c r="F342" s="21" t="str">
        <f aca="false">IF(OR($B342="",$D342=""),"",IFERROR(IF($D342="Entrée",INDEX(Produits!$E$5:$E$204,MATCH($B342,Produits!$A$5:$A$204,0)),INDEX(Produits!$F$5:$F$204,MATCH($B342,Produits!$A$5:$A$204,0))),""))</f>
        <v/>
      </c>
      <c r="G342" s="21" t="str">
        <f aca="false">IF(OR($F342="",$E342=""),"",$E342*$F342)</f>
        <v/>
      </c>
      <c r="H342" s="21" t="str">
        <f aca="false">IF(AND($D342="Sortie",$B342&lt;&gt;"",$E342&lt;&gt;""),IFERROR($E342*INDEX(Produits!$E$5:$E$204,MATCH($B342,Produits!$A$5:$A$204,0)),""),"")</f>
        <v/>
      </c>
      <c r="I342" s="23"/>
    </row>
    <row r="343" customFormat="false" ht="15" hidden="false" customHeight="false" outlineLevel="0" collapsed="false">
      <c r="A343" s="27"/>
      <c r="B343" s="23"/>
      <c r="C343" s="26" t="str">
        <f aca="false">IF($B343="","",IFERROR(INDEX(Produits!$B$5:$B$204,MATCH($B343,Produits!$A$5:$A$204,0)),"Code inconnu"))</f>
        <v/>
      </c>
      <c r="D343" s="23"/>
      <c r="E343" s="24"/>
      <c r="F343" s="21" t="str">
        <f aca="false">IF(OR($B343="",$D343=""),"",IFERROR(IF($D343="Entrée",INDEX(Produits!$E$5:$E$204,MATCH($B343,Produits!$A$5:$A$204,0)),INDEX(Produits!$F$5:$F$204,MATCH($B343,Produits!$A$5:$A$204,0))),""))</f>
        <v/>
      </c>
      <c r="G343" s="21" t="str">
        <f aca="false">IF(OR($F343="",$E343=""),"",$E343*$F343)</f>
        <v/>
      </c>
      <c r="H343" s="21" t="str">
        <f aca="false">IF(AND($D343="Sortie",$B343&lt;&gt;"",$E343&lt;&gt;""),IFERROR($E343*INDEX(Produits!$E$5:$E$204,MATCH($B343,Produits!$A$5:$A$204,0)),""),"")</f>
        <v/>
      </c>
      <c r="I343" s="23"/>
    </row>
    <row r="344" customFormat="false" ht="15" hidden="false" customHeight="false" outlineLevel="0" collapsed="false">
      <c r="A344" s="27"/>
      <c r="B344" s="23"/>
      <c r="C344" s="26" t="str">
        <f aca="false">IF($B344="","",IFERROR(INDEX(Produits!$B$5:$B$204,MATCH($B344,Produits!$A$5:$A$204,0)),"Code inconnu"))</f>
        <v/>
      </c>
      <c r="D344" s="23"/>
      <c r="E344" s="24"/>
      <c r="F344" s="21" t="str">
        <f aca="false">IF(OR($B344="",$D344=""),"",IFERROR(IF($D344="Entrée",INDEX(Produits!$E$5:$E$204,MATCH($B344,Produits!$A$5:$A$204,0)),INDEX(Produits!$F$5:$F$204,MATCH($B344,Produits!$A$5:$A$204,0))),""))</f>
        <v/>
      </c>
      <c r="G344" s="21" t="str">
        <f aca="false">IF(OR($F344="",$E344=""),"",$E344*$F344)</f>
        <v/>
      </c>
      <c r="H344" s="21" t="str">
        <f aca="false">IF(AND($D344="Sortie",$B344&lt;&gt;"",$E344&lt;&gt;""),IFERROR($E344*INDEX(Produits!$E$5:$E$204,MATCH($B344,Produits!$A$5:$A$204,0)),""),"")</f>
        <v/>
      </c>
      <c r="I344" s="23"/>
    </row>
    <row r="345" customFormat="false" ht="15" hidden="false" customHeight="false" outlineLevel="0" collapsed="false">
      <c r="A345" s="27"/>
      <c r="B345" s="23"/>
      <c r="C345" s="26" t="str">
        <f aca="false">IF($B345="","",IFERROR(INDEX(Produits!$B$5:$B$204,MATCH($B345,Produits!$A$5:$A$204,0)),"Code inconnu"))</f>
        <v/>
      </c>
      <c r="D345" s="23"/>
      <c r="E345" s="24"/>
      <c r="F345" s="21" t="str">
        <f aca="false">IF(OR($B345="",$D345=""),"",IFERROR(IF($D345="Entrée",INDEX(Produits!$E$5:$E$204,MATCH($B345,Produits!$A$5:$A$204,0)),INDEX(Produits!$F$5:$F$204,MATCH($B345,Produits!$A$5:$A$204,0))),""))</f>
        <v/>
      </c>
      <c r="G345" s="21" t="str">
        <f aca="false">IF(OR($F345="",$E345=""),"",$E345*$F345)</f>
        <v/>
      </c>
      <c r="H345" s="21" t="str">
        <f aca="false">IF(AND($D345="Sortie",$B345&lt;&gt;"",$E345&lt;&gt;""),IFERROR($E345*INDEX(Produits!$E$5:$E$204,MATCH($B345,Produits!$A$5:$A$204,0)),""),"")</f>
        <v/>
      </c>
      <c r="I345" s="23"/>
    </row>
    <row r="346" customFormat="false" ht="15" hidden="false" customHeight="false" outlineLevel="0" collapsed="false">
      <c r="A346" s="27"/>
      <c r="B346" s="23"/>
      <c r="C346" s="26" t="str">
        <f aca="false">IF($B346="","",IFERROR(INDEX(Produits!$B$5:$B$204,MATCH($B346,Produits!$A$5:$A$204,0)),"Code inconnu"))</f>
        <v/>
      </c>
      <c r="D346" s="23"/>
      <c r="E346" s="24"/>
      <c r="F346" s="21" t="str">
        <f aca="false">IF(OR($B346="",$D346=""),"",IFERROR(IF($D346="Entrée",INDEX(Produits!$E$5:$E$204,MATCH($B346,Produits!$A$5:$A$204,0)),INDEX(Produits!$F$5:$F$204,MATCH($B346,Produits!$A$5:$A$204,0))),""))</f>
        <v/>
      </c>
      <c r="G346" s="21" t="str">
        <f aca="false">IF(OR($F346="",$E346=""),"",$E346*$F346)</f>
        <v/>
      </c>
      <c r="H346" s="21" t="str">
        <f aca="false">IF(AND($D346="Sortie",$B346&lt;&gt;"",$E346&lt;&gt;""),IFERROR($E346*INDEX(Produits!$E$5:$E$204,MATCH($B346,Produits!$A$5:$A$204,0)),""),"")</f>
        <v/>
      </c>
      <c r="I346" s="23"/>
    </row>
    <row r="347" customFormat="false" ht="15" hidden="false" customHeight="false" outlineLevel="0" collapsed="false">
      <c r="A347" s="27"/>
      <c r="B347" s="23"/>
      <c r="C347" s="26" t="str">
        <f aca="false">IF($B347="","",IFERROR(INDEX(Produits!$B$5:$B$204,MATCH($B347,Produits!$A$5:$A$204,0)),"Code inconnu"))</f>
        <v/>
      </c>
      <c r="D347" s="23"/>
      <c r="E347" s="24"/>
      <c r="F347" s="21" t="str">
        <f aca="false">IF(OR($B347="",$D347=""),"",IFERROR(IF($D347="Entrée",INDEX(Produits!$E$5:$E$204,MATCH($B347,Produits!$A$5:$A$204,0)),INDEX(Produits!$F$5:$F$204,MATCH($B347,Produits!$A$5:$A$204,0))),""))</f>
        <v/>
      </c>
      <c r="G347" s="21" t="str">
        <f aca="false">IF(OR($F347="",$E347=""),"",$E347*$F347)</f>
        <v/>
      </c>
      <c r="H347" s="21" t="str">
        <f aca="false">IF(AND($D347="Sortie",$B347&lt;&gt;"",$E347&lt;&gt;""),IFERROR($E347*INDEX(Produits!$E$5:$E$204,MATCH($B347,Produits!$A$5:$A$204,0)),""),"")</f>
        <v/>
      </c>
      <c r="I347" s="23"/>
    </row>
    <row r="348" customFormat="false" ht="15" hidden="false" customHeight="false" outlineLevel="0" collapsed="false">
      <c r="A348" s="27"/>
      <c r="B348" s="23"/>
      <c r="C348" s="26" t="str">
        <f aca="false">IF($B348="","",IFERROR(INDEX(Produits!$B$5:$B$204,MATCH($B348,Produits!$A$5:$A$204,0)),"Code inconnu"))</f>
        <v/>
      </c>
      <c r="D348" s="23"/>
      <c r="E348" s="24"/>
      <c r="F348" s="21" t="str">
        <f aca="false">IF(OR($B348="",$D348=""),"",IFERROR(IF($D348="Entrée",INDEX(Produits!$E$5:$E$204,MATCH($B348,Produits!$A$5:$A$204,0)),INDEX(Produits!$F$5:$F$204,MATCH($B348,Produits!$A$5:$A$204,0))),""))</f>
        <v/>
      </c>
      <c r="G348" s="21" t="str">
        <f aca="false">IF(OR($F348="",$E348=""),"",$E348*$F348)</f>
        <v/>
      </c>
      <c r="H348" s="21" t="str">
        <f aca="false">IF(AND($D348="Sortie",$B348&lt;&gt;"",$E348&lt;&gt;""),IFERROR($E348*INDEX(Produits!$E$5:$E$204,MATCH($B348,Produits!$A$5:$A$204,0)),""),"")</f>
        <v/>
      </c>
      <c r="I348" s="23"/>
    </row>
    <row r="349" customFormat="false" ht="15" hidden="false" customHeight="false" outlineLevel="0" collapsed="false">
      <c r="A349" s="27"/>
      <c r="B349" s="23"/>
      <c r="C349" s="26" t="str">
        <f aca="false">IF($B349="","",IFERROR(INDEX(Produits!$B$5:$B$204,MATCH($B349,Produits!$A$5:$A$204,0)),"Code inconnu"))</f>
        <v/>
      </c>
      <c r="D349" s="23"/>
      <c r="E349" s="24"/>
      <c r="F349" s="21" t="str">
        <f aca="false">IF(OR($B349="",$D349=""),"",IFERROR(IF($D349="Entrée",INDEX(Produits!$E$5:$E$204,MATCH($B349,Produits!$A$5:$A$204,0)),INDEX(Produits!$F$5:$F$204,MATCH($B349,Produits!$A$5:$A$204,0))),""))</f>
        <v/>
      </c>
      <c r="G349" s="21" t="str">
        <f aca="false">IF(OR($F349="",$E349=""),"",$E349*$F349)</f>
        <v/>
      </c>
      <c r="H349" s="21" t="str">
        <f aca="false">IF(AND($D349="Sortie",$B349&lt;&gt;"",$E349&lt;&gt;""),IFERROR($E349*INDEX(Produits!$E$5:$E$204,MATCH($B349,Produits!$A$5:$A$204,0)),""),"")</f>
        <v/>
      </c>
      <c r="I349" s="23"/>
    </row>
    <row r="350" customFormat="false" ht="15" hidden="false" customHeight="false" outlineLevel="0" collapsed="false">
      <c r="A350" s="27"/>
      <c r="B350" s="23"/>
      <c r="C350" s="26" t="str">
        <f aca="false">IF($B350="","",IFERROR(INDEX(Produits!$B$5:$B$204,MATCH($B350,Produits!$A$5:$A$204,0)),"Code inconnu"))</f>
        <v/>
      </c>
      <c r="D350" s="23"/>
      <c r="E350" s="24"/>
      <c r="F350" s="21" t="str">
        <f aca="false">IF(OR($B350="",$D350=""),"",IFERROR(IF($D350="Entrée",INDEX(Produits!$E$5:$E$204,MATCH($B350,Produits!$A$5:$A$204,0)),INDEX(Produits!$F$5:$F$204,MATCH($B350,Produits!$A$5:$A$204,0))),""))</f>
        <v/>
      </c>
      <c r="G350" s="21" t="str">
        <f aca="false">IF(OR($F350="",$E350=""),"",$E350*$F350)</f>
        <v/>
      </c>
      <c r="H350" s="21" t="str">
        <f aca="false">IF(AND($D350="Sortie",$B350&lt;&gt;"",$E350&lt;&gt;""),IFERROR($E350*INDEX(Produits!$E$5:$E$204,MATCH($B350,Produits!$A$5:$A$204,0)),""),"")</f>
        <v/>
      </c>
      <c r="I350" s="23"/>
    </row>
    <row r="351" customFormat="false" ht="15" hidden="false" customHeight="false" outlineLevel="0" collapsed="false">
      <c r="A351" s="27"/>
      <c r="B351" s="23"/>
      <c r="C351" s="26" t="str">
        <f aca="false">IF($B351="","",IFERROR(INDEX(Produits!$B$5:$B$204,MATCH($B351,Produits!$A$5:$A$204,0)),"Code inconnu"))</f>
        <v/>
      </c>
      <c r="D351" s="23"/>
      <c r="E351" s="24"/>
      <c r="F351" s="21" t="str">
        <f aca="false">IF(OR($B351="",$D351=""),"",IFERROR(IF($D351="Entrée",INDEX(Produits!$E$5:$E$204,MATCH($B351,Produits!$A$5:$A$204,0)),INDEX(Produits!$F$5:$F$204,MATCH($B351,Produits!$A$5:$A$204,0))),""))</f>
        <v/>
      </c>
      <c r="G351" s="21" t="str">
        <f aca="false">IF(OR($F351="",$E351=""),"",$E351*$F351)</f>
        <v/>
      </c>
      <c r="H351" s="21" t="str">
        <f aca="false">IF(AND($D351="Sortie",$B351&lt;&gt;"",$E351&lt;&gt;""),IFERROR($E351*INDEX(Produits!$E$5:$E$204,MATCH($B351,Produits!$A$5:$A$204,0)),""),"")</f>
        <v/>
      </c>
      <c r="I351" s="23"/>
    </row>
    <row r="352" customFormat="false" ht="15" hidden="false" customHeight="false" outlineLevel="0" collapsed="false">
      <c r="A352" s="27"/>
      <c r="B352" s="23"/>
      <c r="C352" s="26" t="str">
        <f aca="false">IF($B352="","",IFERROR(INDEX(Produits!$B$5:$B$204,MATCH($B352,Produits!$A$5:$A$204,0)),"Code inconnu"))</f>
        <v/>
      </c>
      <c r="D352" s="23"/>
      <c r="E352" s="24"/>
      <c r="F352" s="21" t="str">
        <f aca="false">IF(OR($B352="",$D352=""),"",IFERROR(IF($D352="Entrée",INDEX(Produits!$E$5:$E$204,MATCH($B352,Produits!$A$5:$A$204,0)),INDEX(Produits!$F$5:$F$204,MATCH($B352,Produits!$A$5:$A$204,0))),""))</f>
        <v/>
      </c>
      <c r="G352" s="21" t="str">
        <f aca="false">IF(OR($F352="",$E352=""),"",$E352*$F352)</f>
        <v/>
      </c>
      <c r="H352" s="21" t="str">
        <f aca="false">IF(AND($D352="Sortie",$B352&lt;&gt;"",$E352&lt;&gt;""),IFERROR($E352*INDEX(Produits!$E$5:$E$204,MATCH($B352,Produits!$A$5:$A$204,0)),""),"")</f>
        <v/>
      </c>
      <c r="I352" s="23"/>
    </row>
    <row r="353" customFormat="false" ht="15" hidden="false" customHeight="false" outlineLevel="0" collapsed="false">
      <c r="A353" s="27"/>
      <c r="B353" s="23"/>
      <c r="C353" s="26" t="str">
        <f aca="false">IF($B353="","",IFERROR(INDEX(Produits!$B$5:$B$204,MATCH($B353,Produits!$A$5:$A$204,0)),"Code inconnu"))</f>
        <v/>
      </c>
      <c r="D353" s="23"/>
      <c r="E353" s="24"/>
      <c r="F353" s="21" t="str">
        <f aca="false">IF(OR($B353="",$D353=""),"",IFERROR(IF($D353="Entrée",INDEX(Produits!$E$5:$E$204,MATCH($B353,Produits!$A$5:$A$204,0)),INDEX(Produits!$F$5:$F$204,MATCH($B353,Produits!$A$5:$A$204,0))),""))</f>
        <v/>
      </c>
      <c r="G353" s="21" t="str">
        <f aca="false">IF(OR($F353="",$E353=""),"",$E353*$F353)</f>
        <v/>
      </c>
      <c r="H353" s="21" t="str">
        <f aca="false">IF(AND($D353="Sortie",$B353&lt;&gt;"",$E353&lt;&gt;""),IFERROR($E353*INDEX(Produits!$E$5:$E$204,MATCH($B353,Produits!$A$5:$A$204,0)),""),"")</f>
        <v/>
      </c>
      <c r="I353" s="23"/>
    </row>
    <row r="354" customFormat="false" ht="15" hidden="false" customHeight="false" outlineLevel="0" collapsed="false">
      <c r="A354" s="27"/>
      <c r="B354" s="23"/>
      <c r="C354" s="26" t="str">
        <f aca="false">IF($B354="","",IFERROR(INDEX(Produits!$B$5:$B$204,MATCH($B354,Produits!$A$5:$A$204,0)),"Code inconnu"))</f>
        <v/>
      </c>
      <c r="D354" s="23"/>
      <c r="E354" s="24"/>
      <c r="F354" s="21" t="str">
        <f aca="false">IF(OR($B354="",$D354=""),"",IFERROR(IF($D354="Entrée",INDEX(Produits!$E$5:$E$204,MATCH($B354,Produits!$A$5:$A$204,0)),INDEX(Produits!$F$5:$F$204,MATCH($B354,Produits!$A$5:$A$204,0))),""))</f>
        <v/>
      </c>
      <c r="G354" s="21" t="str">
        <f aca="false">IF(OR($F354="",$E354=""),"",$E354*$F354)</f>
        <v/>
      </c>
      <c r="H354" s="21" t="str">
        <f aca="false">IF(AND($D354="Sortie",$B354&lt;&gt;"",$E354&lt;&gt;""),IFERROR($E354*INDEX(Produits!$E$5:$E$204,MATCH($B354,Produits!$A$5:$A$204,0)),""),"")</f>
        <v/>
      </c>
      <c r="I354" s="23"/>
    </row>
    <row r="355" customFormat="false" ht="15" hidden="false" customHeight="false" outlineLevel="0" collapsed="false">
      <c r="A355" s="27"/>
      <c r="B355" s="23"/>
      <c r="C355" s="26" t="str">
        <f aca="false">IF($B355="","",IFERROR(INDEX(Produits!$B$5:$B$204,MATCH($B355,Produits!$A$5:$A$204,0)),"Code inconnu"))</f>
        <v/>
      </c>
      <c r="D355" s="23"/>
      <c r="E355" s="24"/>
      <c r="F355" s="21" t="str">
        <f aca="false">IF(OR($B355="",$D355=""),"",IFERROR(IF($D355="Entrée",INDEX(Produits!$E$5:$E$204,MATCH($B355,Produits!$A$5:$A$204,0)),INDEX(Produits!$F$5:$F$204,MATCH($B355,Produits!$A$5:$A$204,0))),""))</f>
        <v/>
      </c>
      <c r="G355" s="21" t="str">
        <f aca="false">IF(OR($F355="",$E355=""),"",$E355*$F355)</f>
        <v/>
      </c>
      <c r="H355" s="21" t="str">
        <f aca="false">IF(AND($D355="Sortie",$B355&lt;&gt;"",$E355&lt;&gt;""),IFERROR($E355*INDEX(Produits!$E$5:$E$204,MATCH($B355,Produits!$A$5:$A$204,0)),""),"")</f>
        <v/>
      </c>
      <c r="I355" s="23"/>
    </row>
    <row r="356" customFormat="false" ht="15" hidden="false" customHeight="false" outlineLevel="0" collapsed="false">
      <c r="A356" s="27"/>
      <c r="B356" s="23"/>
      <c r="C356" s="26" t="str">
        <f aca="false">IF($B356="","",IFERROR(INDEX(Produits!$B$5:$B$204,MATCH($B356,Produits!$A$5:$A$204,0)),"Code inconnu"))</f>
        <v/>
      </c>
      <c r="D356" s="23"/>
      <c r="E356" s="24"/>
      <c r="F356" s="21" t="str">
        <f aca="false">IF(OR($B356="",$D356=""),"",IFERROR(IF($D356="Entrée",INDEX(Produits!$E$5:$E$204,MATCH($B356,Produits!$A$5:$A$204,0)),INDEX(Produits!$F$5:$F$204,MATCH($B356,Produits!$A$5:$A$204,0))),""))</f>
        <v/>
      </c>
      <c r="G356" s="21" t="str">
        <f aca="false">IF(OR($F356="",$E356=""),"",$E356*$F356)</f>
        <v/>
      </c>
      <c r="H356" s="21" t="str">
        <f aca="false">IF(AND($D356="Sortie",$B356&lt;&gt;"",$E356&lt;&gt;""),IFERROR($E356*INDEX(Produits!$E$5:$E$204,MATCH($B356,Produits!$A$5:$A$204,0)),""),"")</f>
        <v/>
      </c>
      <c r="I356" s="23"/>
    </row>
    <row r="357" customFormat="false" ht="15" hidden="false" customHeight="false" outlineLevel="0" collapsed="false">
      <c r="A357" s="27"/>
      <c r="B357" s="23"/>
      <c r="C357" s="26" t="str">
        <f aca="false">IF($B357="","",IFERROR(INDEX(Produits!$B$5:$B$204,MATCH($B357,Produits!$A$5:$A$204,0)),"Code inconnu"))</f>
        <v/>
      </c>
      <c r="D357" s="23"/>
      <c r="E357" s="24"/>
      <c r="F357" s="21" t="str">
        <f aca="false">IF(OR($B357="",$D357=""),"",IFERROR(IF($D357="Entrée",INDEX(Produits!$E$5:$E$204,MATCH($B357,Produits!$A$5:$A$204,0)),INDEX(Produits!$F$5:$F$204,MATCH($B357,Produits!$A$5:$A$204,0))),""))</f>
        <v/>
      </c>
      <c r="G357" s="21" t="str">
        <f aca="false">IF(OR($F357="",$E357=""),"",$E357*$F357)</f>
        <v/>
      </c>
      <c r="H357" s="21" t="str">
        <f aca="false">IF(AND($D357="Sortie",$B357&lt;&gt;"",$E357&lt;&gt;""),IFERROR($E357*INDEX(Produits!$E$5:$E$204,MATCH($B357,Produits!$A$5:$A$204,0)),""),"")</f>
        <v/>
      </c>
      <c r="I357" s="23"/>
    </row>
    <row r="358" customFormat="false" ht="15" hidden="false" customHeight="false" outlineLevel="0" collapsed="false">
      <c r="A358" s="27"/>
      <c r="B358" s="23"/>
      <c r="C358" s="26" t="str">
        <f aca="false">IF($B358="","",IFERROR(INDEX(Produits!$B$5:$B$204,MATCH($B358,Produits!$A$5:$A$204,0)),"Code inconnu"))</f>
        <v/>
      </c>
      <c r="D358" s="23"/>
      <c r="E358" s="24"/>
      <c r="F358" s="21" t="str">
        <f aca="false">IF(OR($B358="",$D358=""),"",IFERROR(IF($D358="Entrée",INDEX(Produits!$E$5:$E$204,MATCH($B358,Produits!$A$5:$A$204,0)),INDEX(Produits!$F$5:$F$204,MATCH($B358,Produits!$A$5:$A$204,0))),""))</f>
        <v/>
      </c>
      <c r="G358" s="21" t="str">
        <f aca="false">IF(OR($F358="",$E358=""),"",$E358*$F358)</f>
        <v/>
      </c>
      <c r="H358" s="21" t="str">
        <f aca="false">IF(AND($D358="Sortie",$B358&lt;&gt;"",$E358&lt;&gt;""),IFERROR($E358*INDEX(Produits!$E$5:$E$204,MATCH($B358,Produits!$A$5:$A$204,0)),""),"")</f>
        <v/>
      </c>
      <c r="I358" s="23"/>
    </row>
    <row r="359" customFormat="false" ht="15" hidden="false" customHeight="false" outlineLevel="0" collapsed="false">
      <c r="A359" s="27"/>
      <c r="B359" s="23"/>
      <c r="C359" s="26" t="str">
        <f aca="false">IF($B359="","",IFERROR(INDEX(Produits!$B$5:$B$204,MATCH($B359,Produits!$A$5:$A$204,0)),"Code inconnu"))</f>
        <v/>
      </c>
      <c r="D359" s="23"/>
      <c r="E359" s="24"/>
      <c r="F359" s="21" t="str">
        <f aca="false">IF(OR($B359="",$D359=""),"",IFERROR(IF($D359="Entrée",INDEX(Produits!$E$5:$E$204,MATCH($B359,Produits!$A$5:$A$204,0)),INDEX(Produits!$F$5:$F$204,MATCH($B359,Produits!$A$5:$A$204,0))),""))</f>
        <v/>
      </c>
      <c r="G359" s="21" t="str">
        <f aca="false">IF(OR($F359="",$E359=""),"",$E359*$F359)</f>
        <v/>
      </c>
      <c r="H359" s="21" t="str">
        <f aca="false">IF(AND($D359="Sortie",$B359&lt;&gt;"",$E359&lt;&gt;""),IFERROR($E359*INDEX(Produits!$E$5:$E$204,MATCH($B359,Produits!$A$5:$A$204,0)),""),"")</f>
        <v/>
      </c>
      <c r="I359" s="23"/>
    </row>
    <row r="360" customFormat="false" ht="15" hidden="false" customHeight="false" outlineLevel="0" collapsed="false">
      <c r="A360" s="27"/>
      <c r="B360" s="23"/>
      <c r="C360" s="26" t="str">
        <f aca="false">IF($B360="","",IFERROR(INDEX(Produits!$B$5:$B$204,MATCH($B360,Produits!$A$5:$A$204,0)),"Code inconnu"))</f>
        <v/>
      </c>
      <c r="D360" s="23"/>
      <c r="E360" s="24"/>
      <c r="F360" s="21" t="str">
        <f aca="false">IF(OR($B360="",$D360=""),"",IFERROR(IF($D360="Entrée",INDEX(Produits!$E$5:$E$204,MATCH($B360,Produits!$A$5:$A$204,0)),INDEX(Produits!$F$5:$F$204,MATCH($B360,Produits!$A$5:$A$204,0))),""))</f>
        <v/>
      </c>
      <c r="G360" s="21" t="str">
        <f aca="false">IF(OR($F360="",$E360=""),"",$E360*$F360)</f>
        <v/>
      </c>
      <c r="H360" s="21" t="str">
        <f aca="false">IF(AND($D360="Sortie",$B360&lt;&gt;"",$E360&lt;&gt;""),IFERROR($E360*INDEX(Produits!$E$5:$E$204,MATCH($B360,Produits!$A$5:$A$204,0)),""),"")</f>
        <v/>
      </c>
      <c r="I360" s="23"/>
    </row>
    <row r="361" customFormat="false" ht="15" hidden="false" customHeight="false" outlineLevel="0" collapsed="false">
      <c r="A361" s="27"/>
      <c r="B361" s="23"/>
      <c r="C361" s="26" t="str">
        <f aca="false">IF($B361="","",IFERROR(INDEX(Produits!$B$5:$B$204,MATCH($B361,Produits!$A$5:$A$204,0)),"Code inconnu"))</f>
        <v/>
      </c>
      <c r="D361" s="23"/>
      <c r="E361" s="24"/>
      <c r="F361" s="21" t="str">
        <f aca="false">IF(OR($B361="",$D361=""),"",IFERROR(IF($D361="Entrée",INDEX(Produits!$E$5:$E$204,MATCH($B361,Produits!$A$5:$A$204,0)),INDEX(Produits!$F$5:$F$204,MATCH($B361,Produits!$A$5:$A$204,0))),""))</f>
        <v/>
      </c>
      <c r="G361" s="21" t="str">
        <f aca="false">IF(OR($F361="",$E361=""),"",$E361*$F361)</f>
        <v/>
      </c>
      <c r="H361" s="21" t="str">
        <f aca="false">IF(AND($D361="Sortie",$B361&lt;&gt;"",$E361&lt;&gt;""),IFERROR($E361*INDEX(Produits!$E$5:$E$204,MATCH($B361,Produits!$A$5:$A$204,0)),""),"")</f>
        <v/>
      </c>
      <c r="I361" s="23"/>
    </row>
    <row r="362" customFormat="false" ht="15" hidden="false" customHeight="false" outlineLevel="0" collapsed="false">
      <c r="A362" s="27"/>
      <c r="B362" s="23"/>
      <c r="C362" s="26" t="str">
        <f aca="false">IF($B362="","",IFERROR(INDEX(Produits!$B$5:$B$204,MATCH($B362,Produits!$A$5:$A$204,0)),"Code inconnu"))</f>
        <v/>
      </c>
      <c r="D362" s="23"/>
      <c r="E362" s="24"/>
      <c r="F362" s="21" t="str">
        <f aca="false">IF(OR($B362="",$D362=""),"",IFERROR(IF($D362="Entrée",INDEX(Produits!$E$5:$E$204,MATCH($B362,Produits!$A$5:$A$204,0)),INDEX(Produits!$F$5:$F$204,MATCH($B362,Produits!$A$5:$A$204,0))),""))</f>
        <v/>
      </c>
      <c r="G362" s="21" t="str">
        <f aca="false">IF(OR($F362="",$E362=""),"",$E362*$F362)</f>
        <v/>
      </c>
      <c r="H362" s="21" t="str">
        <f aca="false">IF(AND($D362="Sortie",$B362&lt;&gt;"",$E362&lt;&gt;""),IFERROR($E362*INDEX(Produits!$E$5:$E$204,MATCH($B362,Produits!$A$5:$A$204,0)),""),"")</f>
        <v/>
      </c>
      <c r="I362" s="23"/>
    </row>
    <row r="363" customFormat="false" ht="15" hidden="false" customHeight="false" outlineLevel="0" collapsed="false">
      <c r="A363" s="27"/>
      <c r="B363" s="23"/>
      <c r="C363" s="26" t="str">
        <f aca="false">IF($B363="","",IFERROR(INDEX(Produits!$B$5:$B$204,MATCH($B363,Produits!$A$5:$A$204,0)),"Code inconnu"))</f>
        <v/>
      </c>
      <c r="D363" s="23"/>
      <c r="E363" s="24"/>
      <c r="F363" s="21" t="str">
        <f aca="false">IF(OR($B363="",$D363=""),"",IFERROR(IF($D363="Entrée",INDEX(Produits!$E$5:$E$204,MATCH($B363,Produits!$A$5:$A$204,0)),INDEX(Produits!$F$5:$F$204,MATCH($B363,Produits!$A$5:$A$204,0))),""))</f>
        <v/>
      </c>
      <c r="G363" s="21" t="str">
        <f aca="false">IF(OR($F363="",$E363=""),"",$E363*$F363)</f>
        <v/>
      </c>
      <c r="H363" s="21" t="str">
        <f aca="false">IF(AND($D363="Sortie",$B363&lt;&gt;"",$E363&lt;&gt;""),IFERROR($E363*INDEX(Produits!$E$5:$E$204,MATCH($B363,Produits!$A$5:$A$204,0)),""),"")</f>
        <v/>
      </c>
      <c r="I363" s="23"/>
    </row>
    <row r="364" customFormat="false" ht="15" hidden="false" customHeight="false" outlineLevel="0" collapsed="false">
      <c r="A364" s="27"/>
      <c r="B364" s="23"/>
      <c r="C364" s="26" t="str">
        <f aca="false">IF($B364="","",IFERROR(INDEX(Produits!$B$5:$B$204,MATCH($B364,Produits!$A$5:$A$204,0)),"Code inconnu"))</f>
        <v/>
      </c>
      <c r="D364" s="23"/>
      <c r="E364" s="24"/>
      <c r="F364" s="21" t="str">
        <f aca="false">IF(OR($B364="",$D364=""),"",IFERROR(IF($D364="Entrée",INDEX(Produits!$E$5:$E$204,MATCH($B364,Produits!$A$5:$A$204,0)),INDEX(Produits!$F$5:$F$204,MATCH($B364,Produits!$A$5:$A$204,0))),""))</f>
        <v/>
      </c>
      <c r="G364" s="21" t="str">
        <f aca="false">IF(OR($F364="",$E364=""),"",$E364*$F364)</f>
        <v/>
      </c>
      <c r="H364" s="21" t="str">
        <f aca="false">IF(AND($D364="Sortie",$B364&lt;&gt;"",$E364&lt;&gt;""),IFERROR($E364*INDEX(Produits!$E$5:$E$204,MATCH($B364,Produits!$A$5:$A$204,0)),""),"")</f>
        <v/>
      </c>
      <c r="I364" s="23"/>
    </row>
    <row r="365" customFormat="false" ht="15" hidden="false" customHeight="false" outlineLevel="0" collapsed="false">
      <c r="A365" s="27"/>
      <c r="B365" s="23"/>
      <c r="C365" s="26" t="str">
        <f aca="false">IF($B365="","",IFERROR(INDEX(Produits!$B$5:$B$204,MATCH($B365,Produits!$A$5:$A$204,0)),"Code inconnu"))</f>
        <v/>
      </c>
      <c r="D365" s="23"/>
      <c r="E365" s="24"/>
      <c r="F365" s="21" t="str">
        <f aca="false">IF(OR($B365="",$D365=""),"",IFERROR(IF($D365="Entrée",INDEX(Produits!$E$5:$E$204,MATCH($B365,Produits!$A$5:$A$204,0)),INDEX(Produits!$F$5:$F$204,MATCH($B365,Produits!$A$5:$A$204,0))),""))</f>
        <v/>
      </c>
      <c r="G365" s="21" t="str">
        <f aca="false">IF(OR($F365="",$E365=""),"",$E365*$F365)</f>
        <v/>
      </c>
      <c r="H365" s="21" t="str">
        <f aca="false">IF(AND($D365="Sortie",$B365&lt;&gt;"",$E365&lt;&gt;""),IFERROR($E365*INDEX(Produits!$E$5:$E$204,MATCH($B365,Produits!$A$5:$A$204,0)),""),"")</f>
        <v/>
      </c>
      <c r="I365" s="23"/>
    </row>
    <row r="366" customFormat="false" ht="15" hidden="false" customHeight="false" outlineLevel="0" collapsed="false">
      <c r="A366" s="27"/>
      <c r="B366" s="23"/>
      <c r="C366" s="26" t="str">
        <f aca="false">IF($B366="","",IFERROR(INDEX(Produits!$B$5:$B$204,MATCH($B366,Produits!$A$5:$A$204,0)),"Code inconnu"))</f>
        <v/>
      </c>
      <c r="D366" s="23"/>
      <c r="E366" s="24"/>
      <c r="F366" s="21" t="str">
        <f aca="false">IF(OR($B366="",$D366=""),"",IFERROR(IF($D366="Entrée",INDEX(Produits!$E$5:$E$204,MATCH($B366,Produits!$A$5:$A$204,0)),INDEX(Produits!$F$5:$F$204,MATCH($B366,Produits!$A$5:$A$204,0))),""))</f>
        <v/>
      </c>
      <c r="G366" s="21" t="str">
        <f aca="false">IF(OR($F366="",$E366=""),"",$E366*$F366)</f>
        <v/>
      </c>
      <c r="H366" s="21" t="str">
        <f aca="false">IF(AND($D366="Sortie",$B366&lt;&gt;"",$E366&lt;&gt;""),IFERROR($E366*INDEX(Produits!$E$5:$E$204,MATCH($B366,Produits!$A$5:$A$204,0)),""),"")</f>
        <v/>
      </c>
      <c r="I366" s="23"/>
    </row>
    <row r="367" customFormat="false" ht="15" hidden="false" customHeight="false" outlineLevel="0" collapsed="false">
      <c r="A367" s="27"/>
      <c r="B367" s="23"/>
      <c r="C367" s="26" t="str">
        <f aca="false">IF($B367="","",IFERROR(INDEX(Produits!$B$5:$B$204,MATCH($B367,Produits!$A$5:$A$204,0)),"Code inconnu"))</f>
        <v/>
      </c>
      <c r="D367" s="23"/>
      <c r="E367" s="24"/>
      <c r="F367" s="21" t="str">
        <f aca="false">IF(OR($B367="",$D367=""),"",IFERROR(IF($D367="Entrée",INDEX(Produits!$E$5:$E$204,MATCH($B367,Produits!$A$5:$A$204,0)),INDEX(Produits!$F$5:$F$204,MATCH($B367,Produits!$A$5:$A$204,0))),""))</f>
        <v/>
      </c>
      <c r="G367" s="21" t="str">
        <f aca="false">IF(OR($F367="",$E367=""),"",$E367*$F367)</f>
        <v/>
      </c>
      <c r="H367" s="21" t="str">
        <f aca="false">IF(AND($D367="Sortie",$B367&lt;&gt;"",$E367&lt;&gt;""),IFERROR($E367*INDEX(Produits!$E$5:$E$204,MATCH($B367,Produits!$A$5:$A$204,0)),""),"")</f>
        <v/>
      </c>
      <c r="I367" s="23"/>
    </row>
    <row r="368" customFormat="false" ht="15" hidden="false" customHeight="false" outlineLevel="0" collapsed="false">
      <c r="A368" s="27"/>
      <c r="B368" s="23"/>
      <c r="C368" s="26" t="str">
        <f aca="false">IF($B368="","",IFERROR(INDEX(Produits!$B$5:$B$204,MATCH($B368,Produits!$A$5:$A$204,0)),"Code inconnu"))</f>
        <v/>
      </c>
      <c r="D368" s="23"/>
      <c r="E368" s="24"/>
      <c r="F368" s="21" t="str">
        <f aca="false">IF(OR($B368="",$D368=""),"",IFERROR(IF($D368="Entrée",INDEX(Produits!$E$5:$E$204,MATCH($B368,Produits!$A$5:$A$204,0)),INDEX(Produits!$F$5:$F$204,MATCH($B368,Produits!$A$5:$A$204,0))),""))</f>
        <v/>
      </c>
      <c r="G368" s="21" t="str">
        <f aca="false">IF(OR($F368="",$E368=""),"",$E368*$F368)</f>
        <v/>
      </c>
      <c r="H368" s="21" t="str">
        <f aca="false">IF(AND($D368="Sortie",$B368&lt;&gt;"",$E368&lt;&gt;""),IFERROR($E368*INDEX(Produits!$E$5:$E$204,MATCH($B368,Produits!$A$5:$A$204,0)),""),"")</f>
        <v/>
      </c>
      <c r="I368" s="23"/>
    </row>
    <row r="369" customFormat="false" ht="15" hidden="false" customHeight="false" outlineLevel="0" collapsed="false">
      <c r="A369" s="27"/>
      <c r="B369" s="23"/>
      <c r="C369" s="26" t="str">
        <f aca="false">IF($B369="","",IFERROR(INDEX(Produits!$B$5:$B$204,MATCH($B369,Produits!$A$5:$A$204,0)),"Code inconnu"))</f>
        <v/>
      </c>
      <c r="D369" s="23"/>
      <c r="E369" s="24"/>
      <c r="F369" s="21" t="str">
        <f aca="false">IF(OR($B369="",$D369=""),"",IFERROR(IF($D369="Entrée",INDEX(Produits!$E$5:$E$204,MATCH($B369,Produits!$A$5:$A$204,0)),INDEX(Produits!$F$5:$F$204,MATCH($B369,Produits!$A$5:$A$204,0))),""))</f>
        <v/>
      </c>
      <c r="G369" s="21" t="str">
        <f aca="false">IF(OR($F369="",$E369=""),"",$E369*$F369)</f>
        <v/>
      </c>
      <c r="H369" s="21" t="str">
        <f aca="false">IF(AND($D369="Sortie",$B369&lt;&gt;"",$E369&lt;&gt;""),IFERROR($E369*INDEX(Produits!$E$5:$E$204,MATCH($B369,Produits!$A$5:$A$204,0)),""),"")</f>
        <v/>
      </c>
      <c r="I369" s="23"/>
    </row>
    <row r="370" customFormat="false" ht="15" hidden="false" customHeight="false" outlineLevel="0" collapsed="false">
      <c r="A370" s="27"/>
      <c r="B370" s="23"/>
      <c r="C370" s="26" t="str">
        <f aca="false">IF($B370="","",IFERROR(INDEX(Produits!$B$5:$B$204,MATCH($B370,Produits!$A$5:$A$204,0)),"Code inconnu"))</f>
        <v/>
      </c>
      <c r="D370" s="23"/>
      <c r="E370" s="24"/>
      <c r="F370" s="21" t="str">
        <f aca="false">IF(OR($B370="",$D370=""),"",IFERROR(IF($D370="Entrée",INDEX(Produits!$E$5:$E$204,MATCH($B370,Produits!$A$5:$A$204,0)),INDEX(Produits!$F$5:$F$204,MATCH($B370,Produits!$A$5:$A$204,0))),""))</f>
        <v/>
      </c>
      <c r="G370" s="21" t="str">
        <f aca="false">IF(OR($F370="",$E370=""),"",$E370*$F370)</f>
        <v/>
      </c>
      <c r="H370" s="21" t="str">
        <f aca="false">IF(AND($D370="Sortie",$B370&lt;&gt;"",$E370&lt;&gt;""),IFERROR($E370*INDEX(Produits!$E$5:$E$204,MATCH($B370,Produits!$A$5:$A$204,0)),""),"")</f>
        <v/>
      </c>
      <c r="I370" s="23"/>
    </row>
    <row r="371" customFormat="false" ht="15" hidden="false" customHeight="false" outlineLevel="0" collapsed="false">
      <c r="A371" s="27"/>
      <c r="B371" s="23"/>
      <c r="C371" s="26" t="str">
        <f aca="false">IF($B371="","",IFERROR(INDEX(Produits!$B$5:$B$204,MATCH($B371,Produits!$A$5:$A$204,0)),"Code inconnu"))</f>
        <v/>
      </c>
      <c r="D371" s="23"/>
      <c r="E371" s="24"/>
      <c r="F371" s="21" t="str">
        <f aca="false">IF(OR($B371="",$D371=""),"",IFERROR(IF($D371="Entrée",INDEX(Produits!$E$5:$E$204,MATCH($B371,Produits!$A$5:$A$204,0)),INDEX(Produits!$F$5:$F$204,MATCH($B371,Produits!$A$5:$A$204,0))),""))</f>
        <v/>
      </c>
      <c r="G371" s="21" t="str">
        <f aca="false">IF(OR($F371="",$E371=""),"",$E371*$F371)</f>
        <v/>
      </c>
      <c r="H371" s="21" t="str">
        <f aca="false">IF(AND($D371="Sortie",$B371&lt;&gt;"",$E371&lt;&gt;""),IFERROR($E371*INDEX(Produits!$E$5:$E$204,MATCH($B371,Produits!$A$5:$A$204,0)),""),"")</f>
        <v/>
      </c>
      <c r="I371" s="23"/>
    </row>
    <row r="372" customFormat="false" ht="15" hidden="false" customHeight="false" outlineLevel="0" collapsed="false">
      <c r="A372" s="27"/>
      <c r="B372" s="23"/>
      <c r="C372" s="26" t="str">
        <f aca="false">IF($B372="","",IFERROR(INDEX(Produits!$B$5:$B$204,MATCH($B372,Produits!$A$5:$A$204,0)),"Code inconnu"))</f>
        <v/>
      </c>
      <c r="D372" s="23"/>
      <c r="E372" s="24"/>
      <c r="F372" s="21" t="str">
        <f aca="false">IF(OR($B372="",$D372=""),"",IFERROR(IF($D372="Entrée",INDEX(Produits!$E$5:$E$204,MATCH($B372,Produits!$A$5:$A$204,0)),INDEX(Produits!$F$5:$F$204,MATCH($B372,Produits!$A$5:$A$204,0))),""))</f>
        <v/>
      </c>
      <c r="G372" s="21" t="str">
        <f aca="false">IF(OR($F372="",$E372=""),"",$E372*$F372)</f>
        <v/>
      </c>
      <c r="H372" s="21" t="str">
        <f aca="false">IF(AND($D372="Sortie",$B372&lt;&gt;"",$E372&lt;&gt;""),IFERROR($E372*INDEX(Produits!$E$5:$E$204,MATCH($B372,Produits!$A$5:$A$204,0)),""),"")</f>
        <v/>
      </c>
      <c r="I372" s="23"/>
    </row>
    <row r="373" customFormat="false" ht="15" hidden="false" customHeight="false" outlineLevel="0" collapsed="false">
      <c r="A373" s="27"/>
      <c r="B373" s="23"/>
      <c r="C373" s="26" t="str">
        <f aca="false">IF($B373="","",IFERROR(INDEX(Produits!$B$5:$B$204,MATCH($B373,Produits!$A$5:$A$204,0)),"Code inconnu"))</f>
        <v/>
      </c>
      <c r="D373" s="23"/>
      <c r="E373" s="24"/>
      <c r="F373" s="21" t="str">
        <f aca="false">IF(OR($B373="",$D373=""),"",IFERROR(IF($D373="Entrée",INDEX(Produits!$E$5:$E$204,MATCH($B373,Produits!$A$5:$A$204,0)),INDEX(Produits!$F$5:$F$204,MATCH($B373,Produits!$A$5:$A$204,0))),""))</f>
        <v/>
      </c>
      <c r="G373" s="21" t="str">
        <f aca="false">IF(OR($F373="",$E373=""),"",$E373*$F373)</f>
        <v/>
      </c>
      <c r="H373" s="21" t="str">
        <f aca="false">IF(AND($D373="Sortie",$B373&lt;&gt;"",$E373&lt;&gt;""),IFERROR($E373*INDEX(Produits!$E$5:$E$204,MATCH($B373,Produits!$A$5:$A$204,0)),""),"")</f>
        <v/>
      </c>
      <c r="I373" s="23"/>
    </row>
    <row r="374" customFormat="false" ht="15" hidden="false" customHeight="false" outlineLevel="0" collapsed="false">
      <c r="A374" s="27"/>
      <c r="B374" s="23"/>
      <c r="C374" s="26" t="str">
        <f aca="false">IF($B374="","",IFERROR(INDEX(Produits!$B$5:$B$204,MATCH($B374,Produits!$A$5:$A$204,0)),"Code inconnu"))</f>
        <v/>
      </c>
      <c r="D374" s="23"/>
      <c r="E374" s="24"/>
      <c r="F374" s="21" t="str">
        <f aca="false">IF(OR($B374="",$D374=""),"",IFERROR(IF($D374="Entrée",INDEX(Produits!$E$5:$E$204,MATCH($B374,Produits!$A$5:$A$204,0)),INDEX(Produits!$F$5:$F$204,MATCH($B374,Produits!$A$5:$A$204,0))),""))</f>
        <v/>
      </c>
      <c r="G374" s="21" t="str">
        <f aca="false">IF(OR($F374="",$E374=""),"",$E374*$F374)</f>
        <v/>
      </c>
      <c r="H374" s="21" t="str">
        <f aca="false">IF(AND($D374="Sortie",$B374&lt;&gt;"",$E374&lt;&gt;""),IFERROR($E374*INDEX(Produits!$E$5:$E$204,MATCH($B374,Produits!$A$5:$A$204,0)),""),"")</f>
        <v/>
      </c>
      <c r="I374" s="23"/>
    </row>
    <row r="375" customFormat="false" ht="15" hidden="false" customHeight="false" outlineLevel="0" collapsed="false">
      <c r="A375" s="27"/>
      <c r="B375" s="23"/>
      <c r="C375" s="26" t="str">
        <f aca="false">IF($B375="","",IFERROR(INDEX(Produits!$B$5:$B$204,MATCH($B375,Produits!$A$5:$A$204,0)),"Code inconnu"))</f>
        <v/>
      </c>
      <c r="D375" s="23"/>
      <c r="E375" s="24"/>
      <c r="F375" s="21" t="str">
        <f aca="false">IF(OR($B375="",$D375=""),"",IFERROR(IF($D375="Entrée",INDEX(Produits!$E$5:$E$204,MATCH($B375,Produits!$A$5:$A$204,0)),INDEX(Produits!$F$5:$F$204,MATCH($B375,Produits!$A$5:$A$204,0))),""))</f>
        <v/>
      </c>
      <c r="G375" s="21" t="str">
        <f aca="false">IF(OR($F375="",$E375=""),"",$E375*$F375)</f>
        <v/>
      </c>
      <c r="H375" s="21" t="str">
        <f aca="false">IF(AND($D375="Sortie",$B375&lt;&gt;"",$E375&lt;&gt;""),IFERROR($E375*INDEX(Produits!$E$5:$E$204,MATCH($B375,Produits!$A$5:$A$204,0)),""),"")</f>
        <v/>
      </c>
      <c r="I375" s="23"/>
    </row>
    <row r="376" customFormat="false" ht="15" hidden="false" customHeight="false" outlineLevel="0" collapsed="false">
      <c r="A376" s="27"/>
      <c r="B376" s="23"/>
      <c r="C376" s="26" t="str">
        <f aca="false">IF($B376="","",IFERROR(INDEX(Produits!$B$5:$B$204,MATCH($B376,Produits!$A$5:$A$204,0)),"Code inconnu"))</f>
        <v/>
      </c>
      <c r="D376" s="23"/>
      <c r="E376" s="24"/>
      <c r="F376" s="21" t="str">
        <f aca="false">IF(OR($B376="",$D376=""),"",IFERROR(IF($D376="Entrée",INDEX(Produits!$E$5:$E$204,MATCH($B376,Produits!$A$5:$A$204,0)),INDEX(Produits!$F$5:$F$204,MATCH($B376,Produits!$A$5:$A$204,0))),""))</f>
        <v/>
      </c>
      <c r="G376" s="21" t="str">
        <f aca="false">IF(OR($F376="",$E376=""),"",$E376*$F376)</f>
        <v/>
      </c>
      <c r="H376" s="21" t="str">
        <f aca="false">IF(AND($D376="Sortie",$B376&lt;&gt;"",$E376&lt;&gt;""),IFERROR($E376*INDEX(Produits!$E$5:$E$204,MATCH($B376,Produits!$A$5:$A$204,0)),""),"")</f>
        <v/>
      </c>
      <c r="I376" s="23"/>
    </row>
    <row r="377" customFormat="false" ht="15" hidden="false" customHeight="false" outlineLevel="0" collapsed="false">
      <c r="A377" s="27"/>
      <c r="B377" s="23"/>
      <c r="C377" s="26" t="str">
        <f aca="false">IF($B377="","",IFERROR(INDEX(Produits!$B$5:$B$204,MATCH($B377,Produits!$A$5:$A$204,0)),"Code inconnu"))</f>
        <v/>
      </c>
      <c r="D377" s="23"/>
      <c r="E377" s="24"/>
      <c r="F377" s="21" t="str">
        <f aca="false">IF(OR($B377="",$D377=""),"",IFERROR(IF($D377="Entrée",INDEX(Produits!$E$5:$E$204,MATCH($B377,Produits!$A$5:$A$204,0)),INDEX(Produits!$F$5:$F$204,MATCH($B377,Produits!$A$5:$A$204,0))),""))</f>
        <v/>
      </c>
      <c r="G377" s="21" t="str">
        <f aca="false">IF(OR($F377="",$E377=""),"",$E377*$F377)</f>
        <v/>
      </c>
      <c r="H377" s="21" t="str">
        <f aca="false">IF(AND($D377="Sortie",$B377&lt;&gt;"",$E377&lt;&gt;""),IFERROR($E377*INDEX(Produits!$E$5:$E$204,MATCH($B377,Produits!$A$5:$A$204,0)),""),"")</f>
        <v/>
      </c>
      <c r="I377" s="23"/>
    </row>
    <row r="378" customFormat="false" ht="15" hidden="false" customHeight="false" outlineLevel="0" collapsed="false">
      <c r="A378" s="27"/>
      <c r="B378" s="23"/>
      <c r="C378" s="26" t="str">
        <f aca="false">IF($B378="","",IFERROR(INDEX(Produits!$B$5:$B$204,MATCH($B378,Produits!$A$5:$A$204,0)),"Code inconnu"))</f>
        <v/>
      </c>
      <c r="D378" s="23"/>
      <c r="E378" s="24"/>
      <c r="F378" s="21" t="str">
        <f aca="false">IF(OR($B378="",$D378=""),"",IFERROR(IF($D378="Entrée",INDEX(Produits!$E$5:$E$204,MATCH($B378,Produits!$A$5:$A$204,0)),INDEX(Produits!$F$5:$F$204,MATCH($B378,Produits!$A$5:$A$204,0))),""))</f>
        <v/>
      </c>
      <c r="G378" s="21" t="str">
        <f aca="false">IF(OR($F378="",$E378=""),"",$E378*$F378)</f>
        <v/>
      </c>
      <c r="H378" s="21" t="str">
        <f aca="false">IF(AND($D378="Sortie",$B378&lt;&gt;"",$E378&lt;&gt;""),IFERROR($E378*INDEX(Produits!$E$5:$E$204,MATCH($B378,Produits!$A$5:$A$204,0)),""),"")</f>
        <v/>
      </c>
      <c r="I378" s="23"/>
    </row>
    <row r="379" customFormat="false" ht="15" hidden="false" customHeight="false" outlineLevel="0" collapsed="false">
      <c r="A379" s="27"/>
      <c r="B379" s="23"/>
      <c r="C379" s="26" t="str">
        <f aca="false">IF($B379="","",IFERROR(INDEX(Produits!$B$5:$B$204,MATCH($B379,Produits!$A$5:$A$204,0)),"Code inconnu"))</f>
        <v/>
      </c>
      <c r="D379" s="23"/>
      <c r="E379" s="24"/>
      <c r="F379" s="21" t="str">
        <f aca="false">IF(OR($B379="",$D379=""),"",IFERROR(IF($D379="Entrée",INDEX(Produits!$E$5:$E$204,MATCH($B379,Produits!$A$5:$A$204,0)),INDEX(Produits!$F$5:$F$204,MATCH($B379,Produits!$A$5:$A$204,0))),""))</f>
        <v/>
      </c>
      <c r="G379" s="21" t="str">
        <f aca="false">IF(OR($F379="",$E379=""),"",$E379*$F379)</f>
        <v/>
      </c>
      <c r="H379" s="21" t="str">
        <f aca="false">IF(AND($D379="Sortie",$B379&lt;&gt;"",$E379&lt;&gt;""),IFERROR($E379*INDEX(Produits!$E$5:$E$204,MATCH($B379,Produits!$A$5:$A$204,0)),""),"")</f>
        <v/>
      </c>
      <c r="I379" s="23"/>
    </row>
    <row r="380" customFormat="false" ht="15" hidden="false" customHeight="false" outlineLevel="0" collapsed="false">
      <c r="A380" s="27"/>
      <c r="B380" s="23"/>
      <c r="C380" s="26" t="str">
        <f aca="false">IF($B380="","",IFERROR(INDEX(Produits!$B$5:$B$204,MATCH($B380,Produits!$A$5:$A$204,0)),"Code inconnu"))</f>
        <v/>
      </c>
      <c r="D380" s="23"/>
      <c r="E380" s="24"/>
      <c r="F380" s="21" t="str">
        <f aca="false">IF(OR($B380="",$D380=""),"",IFERROR(IF($D380="Entrée",INDEX(Produits!$E$5:$E$204,MATCH($B380,Produits!$A$5:$A$204,0)),INDEX(Produits!$F$5:$F$204,MATCH($B380,Produits!$A$5:$A$204,0))),""))</f>
        <v/>
      </c>
      <c r="G380" s="21" t="str">
        <f aca="false">IF(OR($F380="",$E380=""),"",$E380*$F380)</f>
        <v/>
      </c>
      <c r="H380" s="21" t="str">
        <f aca="false">IF(AND($D380="Sortie",$B380&lt;&gt;"",$E380&lt;&gt;""),IFERROR($E380*INDEX(Produits!$E$5:$E$204,MATCH($B380,Produits!$A$5:$A$204,0)),""),"")</f>
        <v/>
      </c>
      <c r="I380" s="23"/>
    </row>
    <row r="381" customFormat="false" ht="15" hidden="false" customHeight="false" outlineLevel="0" collapsed="false">
      <c r="A381" s="27"/>
      <c r="B381" s="23"/>
      <c r="C381" s="26" t="str">
        <f aca="false">IF($B381="","",IFERROR(INDEX(Produits!$B$5:$B$204,MATCH($B381,Produits!$A$5:$A$204,0)),"Code inconnu"))</f>
        <v/>
      </c>
      <c r="D381" s="23"/>
      <c r="E381" s="24"/>
      <c r="F381" s="21" t="str">
        <f aca="false">IF(OR($B381="",$D381=""),"",IFERROR(IF($D381="Entrée",INDEX(Produits!$E$5:$E$204,MATCH($B381,Produits!$A$5:$A$204,0)),INDEX(Produits!$F$5:$F$204,MATCH($B381,Produits!$A$5:$A$204,0))),""))</f>
        <v/>
      </c>
      <c r="G381" s="21" t="str">
        <f aca="false">IF(OR($F381="",$E381=""),"",$E381*$F381)</f>
        <v/>
      </c>
      <c r="H381" s="21" t="str">
        <f aca="false">IF(AND($D381="Sortie",$B381&lt;&gt;"",$E381&lt;&gt;""),IFERROR($E381*INDEX(Produits!$E$5:$E$204,MATCH($B381,Produits!$A$5:$A$204,0)),""),"")</f>
        <v/>
      </c>
      <c r="I381" s="23"/>
    </row>
    <row r="382" customFormat="false" ht="15" hidden="false" customHeight="false" outlineLevel="0" collapsed="false">
      <c r="A382" s="27"/>
      <c r="B382" s="23"/>
      <c r="C382" s="26" t="str">
        <f aca="false">IF($B382="","",IFERROR(INDEX(Produits!$B$5:$B$204,MATCH($B382,Produits!$A$5:$A$204,0)),"Code inconnu"))</f>
        <v/>
      </c>
      <c r="D382" s="23"/>
      <c r="E382" s="24"/>
      <c r="F382" s="21" t="str">
        <f aca="false">IF(OR($B382="",$D382=""),"",IFERROR(IF($D382="Entrée",INDEX(Produits!$E$5:$E$204,MATCH($B382,Produits!$A$5:$A$204,0)),INDEX(Produits!$F$5:$F$204,MATCH($B382,Produits!$A$5:$A$204,0))),""))</f>
        <v/>
      </c>
      <c r="G382" s="21" t="str">
        <f aca="false">IF(OR($F382="",$E382=""),"",$E382*$F382)</f>
        <v/>
      </c>
      <c r="H382" s="21" t="str">
        <f aca="false">IF(AND($D382="Sortie",$B382&lt;&gt;"",$E382&lt;&gt;""),IFERROR($E382*INDEX(Produits!$E$5:$E$204,MATCH($B382,Produits!$A$5:$A$204,0)),""),"")</f>
        <v/>
      </c>
      <c r="I382" s="23"/>
    </row>
    <row r="383" customFormat="false" ht="15" hidden="false" customHeight="false" outlineLevel="0" collapsed="false">
      <c r="A383" s="27"/>
      <c r="B383" s="23"/>
      <c r="C383" s="26" t="str">
        <f aca="false">IF($B383="","",IFERROR(INDEX(Produits!$B$5:$B$204,MATCH($B383,Produits!$A$5:$A$204,0)),"Code inconnu"))</f>
        <v/>
      </c>
      <c r="D383" s="23"/>
      <c r="E383" s="24"/>
      <c r="F383" s="21" t="str">
        <f aca="false">IF(OR($B383="",$D383=""),"",IFERROR(IF($D383="Entrée",INDEX(Produits!$E$5:$E$204,MATCH($B383,Produits!$A$5:$A$204,0)),INDEX(Produits!$F$5:$F$204,MATCH($B383,Produits!$A$5:$A$204,0))),""))</f>
        <v/>
      </c>
      <c r="G383" s="21" t="str">
        <f aca="false">IF(OR($F383="",$E383=""),"",$E383*$F383)</f>
        <v/>
      </c>
      <c r="H383" s="21" t="str">
        <f aca="false">IF(AND($D383="Sortie",$B383&lt;&gt;"",$E383&lt;&gt;""),IFERROR($E383*INDEX(Produits!$E$5:$E$204,MATCH($B383,Produits!$A$5:$A$204,0)),""),"")</f>
        <v/>
      </c>
      <c r="I383" s="23"/>
    </row>
    <row r="384" customFormat="false" ht="15" hidden="false" customHeight="false" outlineLevel="0" collapsed="false">
      <c r="A384" s="27"/>
      <c r="B384" s="23"/>
      <c r="C384" s="26" t="str">
        <f aca="false">IF($B384="","",IFERROR(INDEX(Produits!$B$5:$B$204,MATCH($B384,Produits!$A$5:$A$204,0)),"Code inconnu"))</f>
        <v/>
      </c>
      <c r="D384" s="23"/>
      <c r="E384" s="24"/>
      <c r="F384" s="21" t="str">
        <f aca="false">IF(OR($B384="",$D384=""),"",IFERROR(IF($D384="Entrée",INDEX(Produits!$E$5:$E$204,MATCH($B384,Produits!$A$5:$A$204,0)),INDEX(Produits!$F$5:$F$204,MATCH($B384,Produits!$A$5:$A$204,0))),""))</f>
        <v/>
      </c>
      <c r="G384" s="21" t="str">
        <f aca="false">IF(OR($F384="",$E384=""),"",$E384*$F384)</f>
        <v/>
      </c>
      <c r="H384" s="21" t="str">
        <f aca="false">IF(AND($D384="Sortie",$B384&lt;&gt;"",$E384&lt;&gt;""),IFERROR($E384*INDEX(Produits!$E$5:$E$204,MATCH($B384,Produits!$A$5:$A$204,0)),""),"")</f>
        <v/>
      </c>
      <c r="I384" s="23"/>
    </row>
    <row r="385" customFormat="false" ht="15" hidden="false" customHeight="false" outlineLevel="0" collapsed="false">
      <c r="A385" s="27"/>
      <c r="B385" s="23"/>
      <c r="C385" s="26" t="str">
        <f aca="false">IF($B385="","",IFERROR(INDEX(Produits!$B$5:$B$204,MATCH($B385,Produits!$A$5:$A$204,0)),"Code inconnu"))</f>
        <v/>
      </c>
      <c r="D385" s="23"/>
      <c r="E385" s="24"/>
      <c r="F385" s="21" t="str">
        <f aca="false">IF(OR($B385="",$D385=""),"",IFERROR(IF($D385="Entrée",INDEX(Produits!$E$5:$E$204,MATCH($B385,Produits!$A$5:$A$204,0)),INDEX(Produits!$F$5:$F$204,MATCH($B385,Produits!$A$5:$A$204,0))),""))</f>
        <v/>
      </c>
      <c r="G385" s="21" t="str">
        <f aca="false">IF(OR($F385="",$E385=""),"",$E385*$F385)</f>
        <v/>
      </c>
      <c r="H385" s="21" t="str">
        <f aca="false">IF(AND($D385="Sortie",$B385&lt;&gt;"",$E385&lt;&gt;""),IFERROR($E385*INDEX(Produits!$E$5:$E$204,MATCH($B385,Produits!$A$5:$A$204,0)),""),"")</f>
        <v/>
      </c>
      <c r="I385" s="23"/>
    </row>
    <row r="386" customFormat="false" ht="15" hidden="false" customHeight="false" outlineLevel="0" collapsed="false">
      <c r="A386" s="27"/>
      <c r="B386" s="23"/>
      <c r="C386" s="26" t="str">
        <f aca="false">IF($B386="","",IFERROR(INDEX(Produits!$B$5:$B$204,MATCH($B386,Produits!$A$5:$A$204,0)),"Code inconnu"))</f>
        <v/>
      </c>
      <c r="D386" s="23"/>
      <c r="E386" s="24"/>
      <c r="F386" s="21" t="str">
        <f aca="false">IF(OR($B386="",$D386=""),"",IFERROR(IF($D386="Entrée",INDEX(Produits!$E$5:$E$204,MATCH($B386,Produits!$A$5:$A$204,0)),INDEX(Produits!$F$5:$F$204,MATCH($B386,Produits!$A$5:$A$204,0))),""))</f>
        <v/>
      </c>
      <c r="G386" s="21" t="str">
        <f aca="false">IF(OR($F386="",$E386=""),"",$E386*$F386)</f>
        <v/>
      </c>
      <c r="H386" s="21" t="str">
        <f aca="false">IF(AND($D386="Sortie",$B386&lt;&gt;"",$E386&lt;&gt;""),IFERROR($E386*INDEX(Produits!$E$5:$E$204,MATCH($B386,Produits!$A$5:$A$204,0)),""),"")</f>
        <v/>
      </c>
      <c r="I386" s="23"/>
    </row>
    <row r="387" customFormat="false" ht="15" hidden="false" customHeight="false" outlineLevel="0" collapsed="false">
      <c r="A387" s="27"/>
      <c r="B387" s="23"/>
      <c r="C387" s="26" t="str">
        <f aca="false">IF($B387="","",IFERROR(INDEX(Produits!$B$5:$B$204,MATCH($B387,Produits!$A$5:$A$204,0)),"Code inconnu"))</f>
        <v/>
      </c>
      <c r="D387" s="23"/>
      <c r="E387" s="24"/>
      <c r="F387" s="21" t="str">
        <f aca="false">IF(OR($B387="",$D387=""),"",IFERROR(IF($D387="Entrée",INDEX(Produits!$E$5:$E$204,MATCH($B387,Produits!$A$5:$A$204,0)),INDEX(Produits!$F$5:$F$204,MATCH($B387,Produits!$A$5:$A$204,0))),""))</f>
        <v/>
      </c>
      <c r="G387" s="21" t="str">
        <f aca="false">IF(OR($F387="",$E387=""),"",$E387*$F387)</f>
        <v/>
      </c>
      <c r="H387" s="21" t="str">
        <f aca="false">IF(AND($D387="Sortie",$B387&lt;&gt;"",$E387&lt;&gt;""),IFERROR($E387*INDEX(Produits!$E$5:$E$204,MATCH($B387,Produits!$A$5:$A$204,0)),""),"")</f>
        <v/>
      </c>
      <c r="I387" s="23"/>
    </row>
    <row r="388" customFormat="false" ht="15" hidden="false" customHeight="false" outlineLevel="0" collapsed="false">
      <c r="A388" s="27"/>
      <c r="B388" s="23"/>
      <c r="C388" s="26" t="str">
        <f aca="false">IF($B388="","",IFERROR(INDEX(Produits!$B$5:$B$204,MATCH($B388,Produits!$A$5:$A$204,0)),"Code inconnu"))</f>
        <v/>
      </c>
      <c r="D388" s="23"/>
      <c r="E388" s="24"/>
      <c r="F388" s="21" t="str">
        <f aca="false">IF(OR($B388="",$D388=""),"",IFERROR(IF($D388="Entrée",INDEX(Produits!$E$5:$E$204,MATCH($B388,Produits!$A$5:$A$204,0)),INDEX(Produits!$F$5:$F$204,MATCH($B388,Produits!$A$5:$A$204,0))),""))</f>
        <v/>
      </c>
      <c r="G388" s="21" t="str">
        <f aca="false">IF(OR($F388="",$E388=""),"",$E388*$F388)</f>
        <v/>
      </c>
      <c r="H388" s="21" t="str">
        <f aca="false">IF(AND($D388="Sortie",$B388&lt;&gt;"",$E388&lt;&gt;""),IFERROR($E388*INDEX(Produits!$E$5:$E$204,MATCH($B388,Produits!$A$5:$A$204,0)),""),"")</f>
        <v/>
      </c>
      <c r="I388" s="23"/>
    </row>
    <row r="389" customFormat="false" ht="15" hidden="false" customHeight="false" outlineLevel="0" collapsed="false">
      <c r="A389" s="27"/>
      <c r="B389" s="23"/>
      <c r="C389" s="26" t="str">
        <f aca="false">IF($B389="","",IFERROR(INDEX(Produits!$B$5:$B$204,MATCH($B389,Produits!$A$5:$A$204,0)),"Code inconnu"))</f>
        <v/>
      </c>
      <c r="D389" s="23"/>
      <c r="E389" s="24"/>
      <c r="F389" s="21" t="str">
        <f aca="false">IF(OR($B389="",$D389=""),"",IFERROR(IF($D389="Entrée",INDEX(Produits!$E$5:$E$204,MATCH($B389,Produits!$A$5:$A$204,0)),INDEX(Produits!$F$5:$F$204,MATCH($B389,Produits!$A$5:$A$204,0))),""))</f>
        <v/>
      </c>
      <c r="G389" s="21" t="str">
        <f aca="false">IF(OR($F389="",$E389=""),"",$E389*$F389)</f>
        <v/>
      </c>
      <c r="H389" s="21" t="str">
        <f aca="false">IF(AND($D389="Sortie",$B389&lt;&gt;"",$E389&lt;&gt;""),IFERROR($E389*INDEX(Produits!$E$5:$E$204,MATCH($B389,Produits!$A$5:$A$204,0)),""),"")</f>
        <v/>
      </c>
      <c r="I389" s="23"/>
    </row>
    <row r="390" customFormat="false" ht="15" hidden="false" customHeight="false" outlineLevel="0" collapsed="false">
      <c r="A390" s="27"/>
      <c r="B390" s="23"/>
      <c r="C390" s="26" t="str">
        <f aca="false">IF($B390="","",IFERROR(INDEX(Produits!$B$5:$B$204,MATCH($B390,Produits!$A$5:$A$204,0)),"Code inconnu"))</f>
        <v/>
      </c>
      <c r="D390" s="23"/>
      <c r="E390" s="24"/>
      <c r="F390" s="21" t="str">
        <f aca="false">IF(OR($B390="",$D390=""),"",IFERROR(IF($D390="Entrée",INDEX(Produits!$E$5:$E$204,MATCH($B390,Produits!$A$5:$A$204,0)),INDEX(Produits!$F$5:$F$204,MATCH($B390,Produits!$A$5:$A$204,0))),""))</f>
        <v/>
      </c>
      <c r="G390" s="21" t="str">
        <f aca="false">IF(OR($F390="",$E390=""),"",$E390*$F390)</f>
        <v/>
      </c>
      <c r="H390" s="21" t="str">
        <f aca="false">IF(AND($D390="Sortie",$B390&lt;&gt;"",$E390&lt;&gt;""),IFERROR($E390*INDEX(Produits!$E$5:$E$204,MATCH($B390,Produits!$A$5:$A$204,0)),""),"")</f>
        <v/>
      </c>
      <c r="I390" s="23"/>
    </row>
    <row r="391" customFormat="false" ht="15" hidden="false" customHeight="false" outlineLevel="0" collapsed="false">
      <c r="A391" s="27"/>
      <c r="B391" s="23"/>
      <c r="C391" s="26" t="str">
        <f aca="false">IF($B391="","",IFERROR(INDEX(Produits!$B$5:$B$204,MATCH($B391,Produits!$A$5:$A$204,0)),"Code inconnu"))</f>
        <v/>
      </c>
      <c r="D391" s="23"/>
      <c r="E391" s="24"/>
      <c r="F391" s="21" t="str">
        <f aca="false">IF(OR($B391="",$D391=""),"",IFERROR(IF($D391="Entrée",INDEX(Produits!$E$5:$E$204,MATCH($B391,Produits!$A$5:$A$204,0)),INDEX(Produits!$F$5:$F$204,MATCH($B391,Produits!$A$5:$A$204,0))),""))</f>
        <v/>
      </c>
      <c r="G391" s="21" t="str">
        <f aca="false">IF(OR($F391="",$E391=""),"",$E391*$F391)</f>
        <v/>
      </c>
      <c r="H391" s="21" t="str">
        <f aca="false">IF(AND($D391="Sortie",$B391&lt;&gt;"",$E391&lt;&gt;""),IFERROR($E391*INDEX(Produits!$E$5:$E$204,MATCH($B391,Produits!$A$5:$A$204,0)),""),"")</f>
        <v/>
      </c>
      <c r="I391" s="23"/>
    </row>
    <row r="392" customFormat="false" ht="15" hidden="false" customHeight="false" outlineLevel="0" collapsed="false">
      <c r="A392" s="27"/>
      <c r="B392" s="23"/>
      <c r="C392" s="26" t="str">
        <f aca="false">IF($B392="","",IFERROR(INDEX(Produits!$B$5:$B$204,MATCH($B392,Produits!$A$5:$A$204,0)),"Code inconnu"))</f>
        <v/>
      </c>
      <c r="D392" s="23"/>
      <c r="E392" s="24"/>
      <c r="F392" s="21" t="str">
        <f aca="false">IF(OR($B392="",$D392=""),"",IFERROR(IF($D392="Entrée",INDEX(Produits!$E$5:$E$204,MATCH($B392,Produits!$A$5:$A$204,0)),INDEX(Produits!$F$5:$F$204,MATCH($B392,Produits!$A$5:$A$204,0))),""))</f>
        <v/>
      </c>
      <c r="G392" s="21" t="str">
        <f aca="false">IF(OR($F392="",$E392=""),"",$E392*$F392)</f>
        <v/>
      </c>
      <c r="H392" s="21" t="str">
        <f aca="false">IF(AND($D392="Sortie",$B392&lt;&gt;"",$E392&lt;&gt;""),IFERROR($E392*INDEX(Produits!$E$5:$E$204,MATCH($B392,Produits!$A$5:$A$204,0)),""),"")</f>
        <v/>
      </c>
      <c r="I392" s="23"/>
    </row>
    <row r="393" customFormat="false" ht="15" hidden="false" customHeight="false" outlineLevel="0" collapsed="false">
      <c r="A393" s="27"/>
      <c r="B393" s="23"/>
      <c r="C393" s="26" t="str">
        <f aca="false">IF($B393="","",IFERROR(INDEX(Produits!$B$5:$B$204,MATCH($B393,Produits!$A$5:$A$204,0)),"Code inconnu"))</f>
        <v/>
      </c>
      <c r="D393" s="23"/>
      <c r="E393" s="24"/>
      <c r="F393" s="21" t="str">
        <f aca="false">IF(OR($B393="",$D393=""),"",IFERROR(IF($D393="Entrée",INDEX(Produits!$E$5:$E$204,MATCH($B393,Produits!$A$5:$A$204,0)),INDEX(Produits!$F$5:$F$204,MATCH($B393,Produits!$A$5:$A$204,0))),""))</f>
        <v/>
      </c>
      <c r="G393" s="21" t="str">
        <f aca="false">IF(OR($F393="",$E393=""),"",$E393*$F393)</f>
        <v/>
      </c>
      <c r="H393" s="21" t="str">
        <f aca="false">IF(AND($D393="Sortie",$B393&lt;&gt;"",$E393&lt;&gt;""),IFERROR($E393*INDEX(Produits!$E$5:$E$204,MATCH($B393,Produits!$A$5:$A$204,0)),""),"")</f>
        <v/>
      </c>
      <c r="I393" s="23"/>
    </row>
    <row r="394" customFormat="false" ht="15" hidden="false" customHeight="false" outlineLevel="0" collapsed="false">
      <c r="A394" s="27"/>
      <c r="B394" s="23"/>
      <c r="C394" s="26" t="str">
        <f aca="false">IF($B394="","",IFERROR(INDEX(Produits!$B$5:$B$204,MATCH($B394,Produits!$A$5:$A$204,0)),"Code inconnu"))</f>
        <v/>
      </c>
      <c r="D394" s="23"/>
      <c r="E394" s="24"/>
      <c r="F394" s="21" t="str">
        <f aca="false">IF(OR($B394="",$D394=""),"",IFERROR(IF($D394="Entrée",INDEX(Produits!$E$5:$E$204,MATCH($B394,Produits!$A$5:$A$204,0)),INDEX(Produits!$F$5:$F$204,MATCH($B394,Produits!$A$5:$A$204,0))),""))</f>
        <v/>
      </c>
      <c r="G394" s="21" t="str">
        <f aca="false">IF(OR($F394="",$E394=""),"",$E394*$F394)</f>
        <v/>
      </c>
      <c r="H394" s="21" t="str">
        <f aca="false">IF(AND($D394="Sortie",$B394&lt;&gt;"",$E394&lt;&gt;""),IFERROR($E394*INDEX(Produits!$E$5:$E$204,MATCH($B394,Produits!$A$5:$A$204,0)),""),"")</f>
        <v/>
      </c>
      <c r="I394" s="23"/>
    </row>
    <row r="395" customFormat="false" ht="15" hidden="false" customHeight="false" outlineLevel="0" collapsed="false">
      <c r="A395" s="27"/>
      <c r="B395" s="23"/>
      <c r="C395" s="26" t="str">
        <f aca="false">IF($B395="","",IFERROR(INDEX(Produits!$B$5:$B$204,MATCH($B395,Produits!$A$5:$A$204,0)),"Code inconnu"))</f>
        <v/>
      </c>
      <c r="D395" s="23"/>
      <c r="E395" s="24"/>
      <c r="F395" s="21" t="str">
        <f aca="false">IF(OR($B395="",$D395=""),"",IFERROR(IF($D395="Entrée",INDEX(Produits!$E$5:$E$204,MATCH($B395,Produits!$A$5:$A$204,0)),INDEX(Produits!$F$5:$F$204,MATCH($B395,Produits!$A$5:$A$204,0))),""))</f>
        <v/>
      </c>
      <c r="G395" s="21" t="str">
        <f aca="false">IF(OR($F395="",$E395=""),"",$E395*$F395)</f>
        <v/>
      </c>
      <c r="H395" s="21" t="str">
        <f aca="false">IF(AND($D395="Sortie",$B395&lt;&gt;"",$E395&lt;&gt;""),IFERROR($E395*INDEX(Produits!$E$5:$E$204,MATCH($B395,Produits!$A$5:$A$204,0)),""),"")</f>
        <v/>
      </c>
      <c r="I395" s="23"/>
    </row>
    <row r="396" customFormat="false" ht="15" hidden="false" customHeight="false" outlineLevel="0" collapsed="false">
      <c r="A396" s="27"/>
      <c r="B396" s="23"/>
      <c r="C396" s="26" t="str">
        <f aca="false">IF($B396="","",IFERROR(INDEX(Produits!$B$5:$B$204,MATCH($B396,Produits!$A$5:$A$204,0)),"Code inconnu"))</f>
        <v/>
      </c>
      <c r="D396" s="23"/>
      <c r="E396" s="24"/>
      <c r="F396" s="21" t="str">
        <f aca="false">IF(OR($B396="",$D396=""),"",IFERROR(IF($D396="Entrée",INDEX(Produits!$E$5:$E$204,MATCH($B396,Produits!$A$5:$A$204,0)),INDEX(Produits!$F$5:$F$204,MATCH($B396,Produits!$A$5:$A$204,0))),""))</f>
        <v/>
      </c>
      <c r="G396" s="21" t="str">
        <f aca="false">IF(OR($F396="",$E396=""),"",$E396*$F396)</f>
        <v/>
      </c>
      <c r="H396" s="21" t="str">
        <f aca="false">IF(AND($D396="Sortie",$B396&lt;&gt;"",$E396&lt;&gt;""),IFERROR($E396*INDEX(Produits!$E$5:$E$204,MATCH($B396,Produits!$A$5:$A$204,0)),""),"")</f>
        <v/>
      </c>
      <c r="I396" s="23"/>
    </row>
    <row r="397" customFormat="false" ht="15" hidden="false" customHeight="false" outlineLevel="0" collapsed="false">
      <c r="A397" s="27"/>
      <c r="B397" s="23"/>
      <c r="C397" s="26" t="str">
        <f aca="false">IF($B397="","",IFERROR(INDEX(Produits!$B$5:$B$204,MATCH($B397,Produits!$A$5:$A$204,0)),"Code inconnu"))</f>
        <v/>
      </c>
      <c r="D397" s="23"/>
      <c r="E397" s="24"/>
      <c r="F397" s="21" t="str">
        <f aca="false">IF(OR($B397="",$D397=""),"",IFERROR(IF($D397="Entrée",INDEX(Produits!$E$5:$E$204,MATCH($B397,Produits!$A$5:$A$204,0)),INDEX(Produits!$F$5:$F$204,MATCH($B397,Produits!$A$5:$A$204,0))),""))</f>
        <v/>
      </c>
      <c r="G397" s="21" t="str">
        <f aca="false">IF(OR($F397="",$E397=""),"",$E397*$F397)</f>
        <v/>
      </c>
      <c r="H397" s="21" t="str">
        <f aca="false">IF(AND($D397="Sortie",$B397&lt;&gt;"",$E397&lt;&gt;""),IFERROR($E397*INDEX(Produits!$E$5:$E$204,MATCH($B397,Produits!$A$5:$A$204,0)),""),"")</f>
        <v/>
      </c>
      <c r="I397" s="23"/>
    </row>
    <row r="398" customFormat="false" ht="15" hidden="false" customHeight="false" outlineLevel="0" collapsed="false">
      <c r="A398" s="27"/>
      <c r="B398" s="23"/>
      <c r="C398" s="26" t="str">
        <f aca="false">IF($B398="","",IFERROR(INDEX(Produits!$B$5:$B$204,MATCH($B398,Produits!$A$5:$A$204,0)),"Code inconnu"))</f>
        <v/>
      </c>
      <c r="D398" s="23"/>
      <c r="E398" s="24"/>
      <c r="F398" s="21" t="str">
        <f aca="false">IF(OR($B398="",$D398=""),"",IFERROR(IF($D398="Entrée",INDEX(Produits!$E$5:$E$204,MATCH($B398,Produits!$A$5:$A$204,0)),INDEX(Produits!$F$5:$F$204,MATCH($B398,Produits!$A$5:$A$204,0))),""))</f>
        <v/>
      </c>
      <c r="G398" s="21" t="str">
        <f aca="false">IF(OR($F398="",$E398=""),"",$E398*$F398)</f>
        <v/>
      </c>
      <c r="H398" s="21" t="str">
        <f aca="false">IF(AND($D398="Sortie",$B398&lt;&gt;"",$E398&lt;&gt;""),IFERROR($E398*INDEX(Produits!$E$5:$E$204,MATCH($B398,Produits!$A$5:$A$204,0)),""),"")</f>
        <v/>
      </c>
      <c r="I398" s="23"/>
    </row>
    <row r="399" customFormat="false" ht="15" hidden="false" customHeight="false" outlineLevel="0" collapsed="false">
      <c r="A399" s="27"/>
      <c r="B399" s="23"/>
      <c r="C399" s="26" t="str">
        <f aca="false">IF($B399="","",IFERROR(INDEX(Produits!$B$5:$B$204,MATCH($B399,Produits!$A$5:$A$204,0)),"Code inconnu"))</f>
        <v/>
      </c>
      <c r="D399" s="23"/>
      <c r="E399" s="24"/>
      <c r="F399" s="21" t="str">
        <f aca="false">IF(OR($B399="",$D399=""),"",IFERROR(IF($D399="Entrée",INDEX(Produits!$E$5:$E$204,MATCH($B399,Produits!$A$5:$A$204,0)),INDEX(Produits!$F$5:$F$204,MATCH($B399,Produits!$A$5:$A$204,0))),""))</f>
        <v/>
      </c>
      <c r="G399" s="21" t="str">
        <f aca="false">IF(OR($F399="",$E399=""),"",$E399*$F399)</f>
        <v/>
      </c>
      <c r="H399" s="21" t="str">
        <f aca="false">IF(AND($D399="Sortie",$B399&lt;&gt;"",$E399&lt;&gt;""),IFERROR($E399*INDEX(Produits!$E$5:$E$204,MATCH($B399,Produits!$A$5:$A$204,0)),""),"")</f>
        <v/>
      </c>
      <c r="I399" s="23"/>
    </row>
    <row r="400" customFormat="false" ht="15" hidden="false" customHeight="false" outlineLevel="0" collapsed="false">
      <c r="A400" s="27"/>
      <c r="B400" s="23"/>
      <c r="C400" s="26" t="str">
        <f aca="false">IF($B400="","",IFERROR(INDEX(Produits!$B$5:$B$204,MATCH($B400,Produits!$A$5:$A$204,0)),"Code inconnu"))</f>
        <v/>
      </c>
      <c r="D400" s="23"/>
      <c r="E400" s="24"/>
      <c r="F400" s="21" t="str">
        <f aca="false">IF(OR($B400="",$D400=""),"",IFERROR(IF($D400="Entrée",INDEX(Produits!$E$5:$E$204,MATCH($B400,Produits!$A$5:$A$204,0)),INDEX(Produits!$F$5:$F$204,MATCH($B400,Produits!$A$5:$A$204,0))),""))</f>
        <v/>
      </c>
      <c r="G400" s="21" t="str">
        <f aca="false">IF(OR($F400="",$E400=""),"",$E400*$F400)</f>
        <v/>
      </c>
      <c r="H400" s="21" t="str">
        <f aca="false">IF(AND($D400="Sortie",$B400&lt;&gt;"",$E400&lt;&gt;""),IFERROR($E400*INDEX(Produits!$E$5:$E$204,MATCH($B400,Produits!$A$5:$A$204,0)),""),"")</f>
        <v/>
      </c>
      <c r="I400" s="23"/>
    </row>
    <row r="401" customFormat="false" ht="15" hidden="false" customHeight="false" outlineLevel="0" collapsed="false">
      <c r="A401" s="27"/>
      <c r="B401" s="23"/>
      <c r="C401" s="26" t="str">
        <f aca="false">IF($B401="","",IFERROR(INDEX(Produits!$B$5:$B$204,MATCH($B401,Produits!$A$5:$A$204,0)),"Code inconnu"))</f>
        <v/>
      </c>
      <c r="D401" s="23"/>
      <c r="E401" s="24"/>
      <c r="F401" s="21" t="str">
        <f aca="false">IF(OR($B401="",$D401=""),"",IFERROR(IF($D401="Entrée",INDEX(Produits!$E$5:$E$204,MATCH($B401,Produits!$A$5:$A$204,0)),INDEX(Produits!$F$5:$F$204,MATCH($B401,Produits!$A$5:$A$204,0))),""))</f>
        <v/>
      </c>
      <c r="G401" s="21" t="str">
        <f aca="false">IF(OR($F401="",$E401=""),"",$E401*$F401)</f>
        <v/>
      </c>
      <c r="H401" s="21" t="str">
        <f aca="false">IF(AND($D401="Sortie",$B401&lt;&gt;"",$E401&lt;&gt;""),IFERROR($E401*INDEX(Produits!$E$5:$E$204,MATCH($B401,Produits!$A$5:$A$204,0)),""),"")</f>
        <v/>
      </c>
      <c r="I401" s="23"/>
    </row>
    <row r="402" customFormat="false" ht="15" hidden="false" customHeight="false" outlineLevel="0" collapsed="false">
      <c r="A402" s="27"/>
      <c r="B402" s="23"/>
      <c r="C402" s="26" t="str">
        <f aca="false">IF($B402="","",IFERROR(INDEX(Produits!$B$5:$B$204,MATCH($B402,Produits!$A$5:$A$204,0)),"Code inconnu"))</f>
        <v/>
      </c>
      <c r="D402" s="23"/>
      <c r="E402" s="24"/>
      <c r="F402" s="21" t="str">
        <f aca="false">IF(OR($B402="",$D402=""),"",IFERROR(IF($D402="Entrée",INDEX(Produits!$E$5:$E$204,MATCH($B402,Produits!$A$5:$A$204,0)),INDEX(Produits!$F$5:$F$204,MATCH($B402,Produits!$A$5:$A$204,0))),""))</f>
        <v/>
      </c>
      <c r="G402" s="21" t="str">
        <f aca="false">IF(OR($F402="",$E402=""),"",$E402*$F402)</f>
        <v/>
      </c>
      <c r="H402" s="21" t="str">
        <f aca="false">IF(AND($D402="Sortie",$B402&lt;&gt;"",$E402&lt;&gt;""),IFERROR($E402*INDEX(Produits!$E$5:$E$204,MATCH($B402,Produits!$A$5:$A$204,0)),""),"")</f>
        <v/>
      </c>
      <c r="I402" s="23"/>
    </row>
    <row r="403" customFormat="false" ht="15" hidden="false" customHeight="false" outlineLevel="0" collapsed="false">
      <c r="A403" s="27"/>
      <c r="B403" s="23"/>
      <c r="C403" s="26" t="str">
        <f aca="false">IF($B403="","",IFERROR(INDEX(Produits!$B$5:$B$204,MATCH($B403,Produits!$A$5:$A$204,0)),"Code inconnu"))</f>
        <v/>
      </c>
      <c r="D403" s="23"/>
      <c r="E403" s="24"/>
      <c r="F403" s="21" t="str">
        <f aca="false">IF(OR($B403="",$D403=""),"",IFERROR(IF($D403="Entrée",INDEX(Produits!$E$5:$E$204,MATCH($B403,Produits!$A$5:$A$204,0)),INDEX(Produits!$F$5:$F$204,MATCH($B403,Produits!$A$5:$A$204,0))),""))</f>
        <v/>
      </c>
      <c r="G403" s="21" t="str">
        <f aca="false">IF(OR($F403="",$E403=""),"",$E403*$F403)</f>
        <v/>
      </c>
      <c r="H403" s="21" t="str">
        <f aca="false">IF(AND($D403="Sortie",$B403&lt;&gt;"",$E403&lt;&gt;""),IFERROR($E403*INDEX(Produits!$E$5:$E$204,MATCH($B403,Produits!$A$5:$A$204,0)),""),"")</f>
        <v/>
      </c>
      <c r="I403" s="23"/>
    </row>
    <row r="404" customFormat="false" ht="15" hidden="false" customHeight="false" outlineLevel="0" collapsed="false">
      <c r="A404" s="27"/>
      <c r="B404" s="23"/>
      <c r="C404" s="26" t="str">
        <f aca="false">IF($B404="","",IFERROR(INDEX(Produits!$B$5:$B$204,MATCH($B404,Produits!$A$5:$A$204,0)),"Code inconnu"))</f>
        <v/>
      </c>
      <c r="D404" s="23"/>
      <c r="E404" s="24"/>
      <c r="F404" s="21" t="str">
        <f aca="false">IF(OR($B404="",$D404=""),"",IFERROR(IF($D404="Entrée",INDEX(Produits!$E$5:$E$204,MATCH($B404,Produits!$A$5:$A$204,0)),INDEX(Produits!$F$5:$F$204,MATCH($B404,Produits!$A$5:$A$204,0))),""))</f>
        <v/>
      </c>
      <c r="G404" s="21" t="str">
        <f aca="false">IF(OR($F404="",$E404=""),"",$E404*$F404)</f>
        <v/>
      </c>
      <c r="H404" s="21" t="str">
        <f aca="false">IF(AND($D404="Sortie",$B404&lt;&gt;"",$E404&lt;&gt;""),IFERROR($E404*INDEX(Produits!$E$5:$E$204,MATCH($B404,Produits!$A$5:$A$204,0)),""),"")</f>
        <v/>
      </c>
      <c r="I404" s="23"/>
    </row>
    <row r="405" customFormat="false" ht="15" hidden="false" customHeight="false" outlineLevel="0" collapsed="false">
      <c r="A405" s="27"/>
      <c r="B405" s="23"/>
      <c r="C405" s="26" t="str">
        <f aca="false">IF($B405="","",IFERROR(INDEX(Produits!$B$5:$B$204,MATCH($B405,Produits!$A$5:$A$204,0)),"Code inconnu"))</f>
        <v/>
      </c>
      <c r="D405" s="23"/>
      <c r="E405" s="24"/>
      <c r="F405" s="21" t="str">
        <f aca="false">IF(OR($B405="",$D405=""),"",IFERROR(IF($D405="Entrée",INDEX(Produits!$E$5:$E$204,MATCH($B405,Produits!$A$5:$A$204,0)),INDEX(Produits!$F$5:$F$204,MATCH($B405,Produits!$A$5:$A$204,0))),""))</f>
        <v/>
      </c>
      <c r="G405" s="21" t="str">
        <f aca="false">IF(OR($F405="",$E405=""),"",$E405*$F405)</f>
        <v/>
      </c>
      <c r="H405" s="21" t="str">
        <f aca="false">IF(AND($D405="Sortie",$B405&lt;&gt;"",$E405&lt;&gt;""),IFERROR($E405*INDEX(Produits!$E$5:$E$204,MATCH($B405,Produits!$A$5:$A$204,0)),""),"")</f>
        <v/>
      </c>
      <c r="I405" s="23"/>
    </row>
    <row r="406" customFormat="false" ht="15" hidden="false" customHeight="false" outlineLevel="0" collapsed="false">
      <c r="A406" s="27"/>
      <c r="B406" s="23"/>
      <c r="C406" s="26" t="str">
        <f aca="false">IF($B406="","",IFERROR(INDEX(Produits!$B$5:$B$204,MATCH($B406,Produits!$A$5:$A$204,0)),"Code inconnu"))</f>
        <v/>
      </c>
      <c r="D406" s="23"/>
      <c r="E406" s="24"/>
      <c r="F406" s="21" t="str">
        <f aca="false">IF(OR($B406="",$D406=""),"",IFERROR(IF($D406="Entrée",INDEX(Produits!$E$5:$E$204,MATCH($B406,Produits!$A$5:$A$204,0)),INDEX(Produits!$F$5:$F$204,MATCH($B406,Produits!$A$5:$A$204,0))),""))</f>
        <v/>
      </c>
      <c r="G406" s="21" t="str">
        <f aca="false">IF(OR($F406="",$E406=""),"",$E406*$F406)</f>
        <v/>
      </c>
      <c r="H406" s="21" t="str">
        <f aca="false">IF(AND($D406="Sortie",$B406&lt;&gt;"",$E406&lt;&gt;""),IFERROR($E406*INDEX(Produits!$E$5:$E$204,MATCH($B406,Produits!$A$5:$A$204,0)),""),"")</f>
        <v/>
      </c>
      <c r="I406" s="23"/>
    </row>
    <row r="407" customFormat="false" ht="15" hidden="false" customHeight="false" outlineLevel="0" collapsed="false">
      <c r="A407" s="27"/>
      <c r="B407" s="23"/>
      <c r="C407" s="26" t="str">
        <f aca="false">IF($B407="","",IFERROR(INDEX(Produits!$B$5:$B$204,MATCH($B407,Produits!$A$5:$A$204,0)),"Code inconnu"))</f>
        <v/>
      </c>
      <c r="D407" s="23"/>
      <c r="E407" s="24"/>
      <c r="F407" s="21" t="str">
        <f aca="false">IF(OR($B407="",$D407=""),"",IFERROR(IF($D407="Entrée",INDEX(Produits!$E$5:$E$204,MATCH($B407,Produits!$A$5:$A$204,0)),INDEX(Produits!$F$5:$F$204,MATCH($B407,Produits!$A$5:$A$204,0))),""))</f>
        <v/>
      </c>
      <c r="G407" s="21" t="str">
        <f aca="false">IF(OR($F407="",$E407=""),"",$E407*$F407)</f>
        <v/>
      </c>
      <c r="H407" s="21" t="str">
        <f aca="false">IF(AND($D407="Sortie",$B407&lt;&gt;"",$E407&lt;&gt;""),IFERROR($E407*INDEX(Produits!$E$5:$E$204,MATCH($B407,Produits!$A$5:$A$204,0)),""),"")</f>
        <v/>
      </c>
      <c r="I407" s="23"/>
    </row>
    <row r="408" customFormat="false" ht="15" hidden="false" customHeight="false" outlineLevel="0" collapsed="false">
      <c r="A408" s="27"/>
      <c r="B408" s="23"/>
      <c r="C408" s="26" t="str">
        <f aca="false">IF($B408="","",IFERROR(INDEX(Produits!$B$5:$B$204,MATCH($B408,Produits!$A$5:$A$204,0)),"Code inconnu"))</f>
        <v/>
      </c>
      <c r="D408" s="23"/>
      <c r="E408" s="24"/>
      <c r="F408" s="21" t="str">
        <f aca="false">IF(OR($B408="",$D408=""),"",IFERROR(IF($D408="Entrée",INDEX(Produits!$E$5:$E$204,MATCH($B408,Produits!$A$5:$A$204,0)),INDEX(Produits!$F$5:$F$204,MATCH($B408,Produits!$A$5:$A$204,0))),""))</f>
        <v/>
      </c>
      <c r="G408" s="21" t="str">
        <f aca="false">IF(OR($F408="",$E408=""),"",$E408*$F408)</f>
        <v/>
      </c>
      <c r="H408" s="21" t="str">
        <f aca="false">IF(AND($D408="Sortie",$B408&lt;&gt;"",$E408&lt;&gt;""),IFERROR($E408*INDEX(Produits!$E$5:$E$204,MATCH($B408,Produits!$A$5:$A$204,0)),""),"")</f>
        <v/>
      </c>
      <c r="I408" s="23"/>
    </row>
    <row r="409" customFormat="false" ht="15" hidden="false" customHeight="false" outlineLevel="0" collapsed="false">
      <c r="A409" s="27"/>
      <c r="B409" s="23"/>
      <c r="C409" s="26" t="str">
        <f aca="false">IF($B409="","",IFERROR(INDEX(Produits!$B$5:$B$204,MATCH($B409,Produits!$A$5:$A$204,0)),"Code inconnu"))</f>
        <v/>
      </c>
      <c r="D409" s="23"/>
      <c r="E409" s="24"/>
      <c r="F409" s="21" t="str">
        <f aca="false">IF(OR($B409="",$D409=""),"",IFERROR(IF($D409="Entrée",INDEX(Produits!$E$5:$E$204,MATCH($B409,Produits!$A$5:$A$204,0)),INDEX(Produits!$F$5:$F$204,MATCH($B409,Produits!$A$5:$A$204,0))),""))</f>
        <v/>
      </c>
      <c r="G409" s="21" t="str">
        <f aca="false">IF(OR($F409="",$E409=""),"",$E409*$F409)</f>
        <v/>
      </c>
      <c r="H409" s="21" t="str">
        <f aca="false">IF(AND($D409="Sortie",$B409&lt;&gt;"",$E409&lt;&gt;""),IFERROR($E409*INDEX(Produits!$E$5:$E$204,MATCH($B409,Produits!$A$5:$A$204,0)),""),"")</f>
        <v/>
      </c>
      <c r="I409" s="23"/>
    </row>
    <row r="410" customFormat="false" ht="15" hidden="false" customHeight="false" outlineLevel="0" collapsed="false">
      <c r="A410" s="27"/>
      <c r="B410" s="23"/>
      <c r="C410" s="26" t="str">
        <f aca="false">IF($B410="","",IFERROR(INDEX(Produits!$B$5:$B$204,MATCH($B410,Produits!$A$5:$A$204,0)),"Code inconnu"))</f>
        <v/>
      </c>
      <c r="D410" s="23"/>
      <c r="E410" s="24"/>
      <c r="F410" s="21" t="str">
        <f aca="false">IF(OR($B410="",$D410=""),"",IFERROR(IF($D410="Entrée",INDEX(Produits!$E$5:$E$204,MATCH($B410,Produits!$A$5:$A$204,0)),INDEX(Produits!$F$5:$F$204,MATCH($B410,Produits!$A$5:$A$204,0))),""))</f>
        <v/>
      </c>
      <c r="G410" s="21" t="str">
        <f aca="false">IF(OR($F410="",$E410=""),"",$E410*$F410)</f>
        <v/>
      </c>
      <c r="H410" s="21" t="str">
        <f aca="false">IF(AND($D410="Sortie",$B410&lt;&gt;"",$E410&lt;&gt;""),IFERROR($E410*INDEX(Produits!$E$5:$E$204,MATCH($B410,Produits!$A$5:$A$204,0)),""),"")</f>
        <v/>
      </c>
      <c r="I410" s="23"/>
    </row>
    <row r="411" customFormat="false" ht="15" hidden="false" customHeight="false" outlineLevel="0" collapsed="false">
      <c r="A411" s="27"/>
      <c r="B411" s="23"/>
      <c r="C411" s="26" t="str">
        <f aca="false">IF($B411="","",IFERROR(INDEX(Produits!$B$5:$B$204,MATCH($B411,Produits!$A$5:$A$204,0)),"Code inconnu"))</f>
        <v/>
      </c>
      <c r="D411" s="23"/>
      <c r="E411" s="24"/>
      <c r="F411" s="21" t="str">
        <f aca="false">IF(OR($B411="",$D411=""),"",IFERROR(IF($D411="Entrée",INDEX(Produits!$E$5:$E$204,MATCH($B411,Produits!$A$5:$A$204,0)),INDEX(Produits!$F$5:$F$204,MATCH($B411,Produits!$A$5:$A$204,0))),""))</f>
        <v/>
      </c>
      <c r="G411" s="21" t="str">
        <f aca="false">IF(OR($F411="",$E411=""),"",$E411*$F411)</f>
        <v/>
      </c>
      <c r="H411" s="21" t="str">
        <f aca="false">IF(AND($D411="Sortie",$B411&lt;&gt;"",$E411&lt;&gt;""),IFERROR($E411*INDEX(Produits!$E$5:$E$204,MATCH($B411,Produits!$A$5:$A$204,0)),""),"")</f>
        <v/>
      </c>
      <c r="I411" s="23"/>
    </row>
    <row r="412" customFormat="false" ht="15" hidden="false" customHeight="false" outlineLevel="0" collapsed="false">
      <c r="A412" s="27"/>
      <c r="B412" s="23"/>
      <c r="C412" s="26" t="str">
        <f aca="false">IF($B412="","",IFERROR(INDEX(Produits!$B$5:$B$204,MATCH($B412,Produits!$A$5:$A$204,0)),"Code inconnu"))</f>
        <v/>
      </c>
      <c r="D412" s="23"/>
      <c r="E412" s="24"/>
      <c r="F412" s="21" t="str">
        <f aca="false">IF(OR($B412="",$D412=""),"",IFERROR(IF($D412="Entrée",INDEX(Produits!$E$5:$E$204,MATCH($B412,Produits!$A$5:$A$204,0)),INDEX(Produits!$F$5:$F$204,MATCH($B412,Produits!$A$5:$A$204,0))),""))</f>
        <v/>
      </c>
      <c r="G412" s="21" t="str">
        <f aca="false">IF(OR($F412="",$E412=""),"",$E412*$F412)</f>
        <v/>
      </c>
      <c r="H412" s="21" t="str">
        <f aca="false">IF(AND($D412="Sortie",$B412&lt;&gt;"",$E412&lt;&gt;""),IFERROR($E412*INDEX(Produits!$E$5:$E$204,MATCH($B412,Produits!$A$5:$A$204,0)),""),"")</f>
        <v/>
      </c>
      <c r="I412" s="23"/>
    </row>
    <row r="413" customFormat="false" ht="15" hidden="false" customHeight="false" outlineLevel="0" collapsed="false">
      <c r="A413" s="27"/>
      <c r="B413" s="23"/>
      <c r="C413" s="26" t="str">
        <f aca="false">IF($B413="","",IFERROR(INDEX(Produits!$B$5:$B$204,MATCH($B413,Produits!$A$5:$A$204,0)),"Code inconnu"))</f>
        <v/>
      </c>
      <c r="D413" s="23"/>
      <c r="E413" s="24"/>
      <c r="F413" s="21" t="str">
        <f aca="false">IF(OR($B413="",$D413=""),"",IFERROR(IF($D413="Entrée",INDEX(Produits!$E$5:$E$204,MATCH($B413,Produits!$A$5:$A$204,0)),INDEX(Produits!$F$5:$F$204,MATCH($B413,Produits!$A$5:$A$204,0))),""))</f>
        <v/>
      </c>
      <c r="G413" s="21" t="str">
        <f aca="false">IF(OR($F413="",$E413=""),"",$E413*$F413)</f>
        <v/>
      </c>
      <c r="H413" s="21" t="str">
        <f aca="false">IF(AND($D413="Sortie",$B413&lt;&gt;"",$E413&lt;&gt;""),IFERROR($E413*INDEX(Produits!$E$5:$E$204,MATCH($B413,Produits!$A$5:$A$204,0)),""),"")</f>
        <v/>
      </c>
      <c r="I413" s="23"/>
    </row>
    <row r="414" customFormat="false" ht="15" hidden="false" customHeight="false" outlineLevel="0" collapsed="false">
      <c r="A414" s="27"/>
      <c r="B414" s="23"/>
      <c r="C414" s="26" t="str">
        <f aca="false">IF($B414="","",IFERROR(INDEX(Produits!$B$5:$B$204,MATCH($B414,Produits!$A$5:$A$204,0)),"Code inconnu"))</f>
        <v/>
      </c>
      <c r="D414" s="23"/>
      <c r="E414" s="24"/>
      <c r="F414" s="21" t="str">
        <f aca="false">IF(OR($B414="",$D414=""),"",IFERROR(IF($D414="Entrée",INDEX(Produits!$E$5:$E$204,MATCH($B414,Produits!$A$5:$A$204,0)),INDEX(Produits!$F$5:$F$204,MATCH($B414,Produits!$A$5:$A$204,0))),""))</f>
        <v/>
      </c>
      <c r="G414" s="21" t="str">
        <f aca="false">IF(OR($F414="",$E414=""),"",$E414*$F414)</f>
        <v/>
      </c>
      <c r="H414" s="21" t="str">
        <f aca="false">IF(AND($D414="Sortie",$B414&lt;&gt;"",$E414&lt;&gt;""),IFERROR($E414*INDEX(Produits!$E$5:$E$204,MATCH($B414,Produits!$A$5:$A$204,0)),""),"")</f>
        <v/>
      </c>
      <c r="I414" s="23"/>
    </row>
    <row r="415" customFormat="false" ht="15" hidden="false" customHeight="false" outlineLevel="0" collapsed="false">
      <c r="A415" s="27"/>
      <c r="B415" s="23"/>
      <c r="C415" s="26" t="str">
        <f aca="false">IF($B415="","",IFERROR(INDEX(Produits!$B$5:$B$204,MATCH($B415,Produits!$A$5:$A$204,0)),"Code inconnu"))</f>
        <v/>
      </c>
      <c r="D415" s="23"/>
      <c r="E415" s="24"/>
      <c r="F415" s="21" t="str">
        <f aca="false">IF(OR($B415="",$D415=""),"",IFERROR(IF($D415="Entrée",INDEX(Produits!$E$5:$E$204,MATCH($B415,Produits!$A$5:$A$204,0)),INDEX(Produits!$F$5:$F$204,MATCH($B415,Produits!$A$5:$A$204,0))),""))</f>
        <v/>
      </c>
      <c r="G415" s="21" t="str">
        <f aca="false">IF(OR($F415="",$E415=""),"",$E415*$F415)</f>
        <v/>
      </c>
      <c r="H415" s="21" t="str">
        <f aca="false">IF(AND($D415="Sortie",$B415&lt;&gt;"",$E415&lt;&gt;""),IFERROR($E415*INDEX(Produits!$E$5:$E$204,MATCH($B415,Produits!$A$5:$A$204,0)),""),"")</f>
        <v/>
      </c>
      <c r="I415" s="23"/>
    </row>
    <row r="416" customFormat="false" ht="15" hidden="false" customHeight="false" outlineLevel="0" collapsed="false">
      <c r="A416" s="27"/>
      <c r="B416" s="23"/>
      <c r="C416" s="26" t="str">
        <f aca="false">IF($B416="","",IFERROR(INDEX(Produits!$B$5:$B$204,MATCH($B416,Produits!$A$5:$A$204,0)),"Code inconnu"))</f>
        <v/>
      </c>
      <c r="D416" s="23"/>
      <c r="E416" s="24"/>
      <c r="F416" s="21" t="str">
        <f aca="false">IF(OR($B416="",$D416=""),"",IFERROR(IF($D416="Entrée",INDEX(Produits!$E$5:$E$204,MATCH($B416,Produits!$A$5:$A$204,0)),INDEX(Produits!$F$5:$F$204,MATCH($B416,Produits!$A$5:$A$204,0))),""))</f>
        <v/>
      </c>
      <c r="G416" s="21" t="str">
        <f aca="false">IF(OR($F416="",$E416=""),"",$E416*$F416)</f>
        <v/>
      </c>
      <c r="H416" s="21" t="str">
        <f aca="false">IF(AND($D416="Sortie",$B416&lt;&gt;"",$E416&lt;&gt;""),IFERROR($E416*INDEX(Produits!$E$5:$E$204,MATCH($B416,Produits!$A$5:$A$204,0)),""),"")</f>
        <v/>
      </c>
      <c r="I416" s="23"/>
    </row>
    <row r="417" customFormat="false" ht="15" hidden="false" customHeight="false" outlineLevel="0" collapsed="false">
      <c r="A417" s="27"/>
      <c r="B417" s="23"/>
      <c r="C417" s="26" t="str">
        <f aca="false">IF($B417="","",IFERROR(INDEX(Produits!$B$5:$B$204,MATCH($B417,Produits!$A$5:$A$204,0)),"Code inconnu"))</f>
        <v/>
      </c>
      <c r="D417" s="23"/>
      <c r="E417" s="24"/>
      <c r="F417" s="21" t="str">
        <f aca="false">IF(OR($B417="",$D417=""),"",IFERROR(IF($D417="Entrée",INDEX(Produits!$E$5:$E$204,MATCH($B417,Produits!$A$5:$A$204,0)),INDEX(Produits!$F$5:$F$204,MATCH($B417,Produits!$A$5:$A$204,0))),""))</f>
        <v/>
      </c>
      <c r="G417" s="21" t="str">
        <f aca="false">IF(OR($F417="",$E417=""),"",$E417*$F417)</f>
        <v/>
      </c>
      <c r="H417" s="21" t="str">
        <f aca="false">IF(AND($D417="Sortie",$B417&lt;&gt;"",$E417&lt;&gt;""),IFERROR($E417*INDEX(Produits!$E$5:$E$204,MATCH($B417,Produits!$A$5:$A$204,0)),""),"")</f>
        <v/>
      </c>
      <c r="I417" s="23"/>
    </row>
    <row r="418" customFormat="false" ht="15" hidden="false" customHeight="false" outlineLevel="0" collapsed="false">
      <c r="A418" s="27"/>
      <c r="B418" s="23"/>
      <c r="C418" s="26" t="str">
        <f aca="false">IF($B418="","",IFERROR(INDEX(Produits!$B$5:$B$204,MATCH($B418,Produits!$A$5:$A$204,0)),"Code inconnu"))</f>
        <v/>
      </c>
      <c r="D418" s="23"/>
      <c r="E418" s="24"/>
      <c r="F418" s="21" t="str">
        <f aca="false">IF(OR($B418="",$D418=""),"",IFERROR(IF($D418="Entrée",INDEX(Produits!$E$5:$E$204,MATCH($B418,Produits!$A$5:$A$204,0)),INDEX(Produits!$F$5:$F$204,MATCH($B418,Produits!$A$5:$A$204,0))),""))</f>
        <v/>
      </c>
      <c r="G418" s="21" t="str">
        <f aca="false">IF(OR($F418="",$E418=""),"",$E418*$F418)</f>
        <v/>
      </c>
      <c r="H418" s="21" t="str">
        <f aca="false">IF(AND($D418="Sortie",$B418&lt;&gt;"",$E418&lt;&gt;""),IFERROR($E418*INDEX(Produits!$E$5:$E$204,MATCH($B418,Produits!$A$5:$A$204,0)),""),"")</f>
        <v/>
      </c>
      <c r="I418" s="23"/>
    </row>
    <row r="419" customFormat="false" ht="15" hidden="false" customHeight="false" outlineLevel="0" collapsed="false">
      <c r="A419" s="27"/>
      <c r="B419" s="23"/>
      <c r="C419" s="26" t="str">
        <f aca="false">IF($B419="","",IFERROR(INDEX(Produits!$B$5:$B$204,MATCH($B419,Produits!$A$5:$A$204,0)),"Code inconnu"))</f>
        <v/>
      </c>
      <c r="D419" s="23"/>
      <c r="E419" s="24"/>
      <c r="F419" s="21" t="str">
        <f aca="false">IF(OR($B419="",$D419=""),"",IFERROR(IF($D419="Entrée",INDEX(Produits!$E$5:$E$204,MATCH($B419,Produits!$A$5:$A$204,0)),INDEX(Produits!$F$5:$F$204,MATCH($B419,Produits!$A$5:$A$204,0))),""))</f>
        <v/>
      </c>
      <c r="G419" s="21" t="str">
        <f aca="false">IF(OR($F419="",$E419=""),"",$E419*$F419)</f>
        <v/>
      </c>
      <c r="H419" s="21" t="str">
        <f aca="false">IF(AND($D419="Sortie",$B419&lt;&gt;"",$E419&lt;&gt;""),IFERROR($E419*INDEX(Produits!$E$5:$E$204,MATCH($B419,Produits!$A$5:$A$204,0)),""),"")</f>
        <v/>
      </c>
      <c r="I419" s="23"/>
    </row>
    <row r="420" customFormat="false" ht="15" hidden="false" customHeight="false" outlineLevel="0" collapsed="false">
      <c r="A420" s="27"/>
      <c r="B420" s="23"/>
      <c r="C420" s="26" t="str">
        <f aca="false">IF($B420="","",IFERROR(INDEX(Produits!$B$5:$B$204,MATCH($B420,Produits!$A$5:$A$204,0)),"Code inconnu"))</f>
        <v/>
      </c>
      <c r="D420" s="23"/>
      <c r="E420" s="24"/>
      <c r="F420" s="21" t="str">
        <f aca="false">IF(OR($B420="",$D420=""),"",IFERROR(IF($D420="Entrée",INDEX(Produits!$E$5:$E$204,MATCH($B420,Produits!$A$5:$A$204,0)),INDEX(Produits!$F$5:$F$204,MATCH($B420,Produits!$A$5:$A$204,0))),""))</f>
        <v/>
      </c>
      <c r="G420" s="21" t="str">
        <f aca="false">IF(OR($F420="",$E420=""),"",$E420*$F420)</f>
        <v/>
      </c>
      <c r="H420" s="21" t="str">
        <f aca="false">IF(AND($D420="Sortie",$B420&lt;&gt;"",$E420&lt;&gt;""),IFERROR($E420*INDEX(Produits!$E$5:$E$204,MATCH($B420,Produits!$A$5:$A$204,0)),""),"")</f>
        <v/>
      </c>
      <c r="I420" s="23"/>
    </row>
    <row r="421" customFormat="false" ht="15" hidden="false" customHeight="false" outlineLevel="0" collapsed="false">
      <c r="A421" s="27"/>
      <c r="B421" s="23"/>
      <c r="C421" s="26" t="str">
        <f aca="false">IF($B421="","",IFERROR(INDEX(Produits!$B$5:$B$204,MATCH($B421,Produits!$A$5:$A$204,0)),"Code inconnu"))</f>
        <v/>
      </c>
      <c r="D421" s="23"/>
      <c r="E421" s="24"/>
      <c r="F421" s="21" t="str">
        <f aca="false">IF(OR($B421="",$D421=""),"",IFERROR(IF($D421="Entrée",INDEX(Produits!$E$5:$E$204,MATCH($B421,Produits!$A$5:$A$204,0)),INDEX(Produits!$F$5:$F$204,MATCH($B421,Produits!$A$5:$A$204,0))),""))</f>
        <v/>
      </c>
      <c r="G421" s="21" t="str">
        <f aca="false">IF(OR($F421="",$E421=""),"",$E421*$F421)</f>
        <v/>
      </c>
      <c r="H421" s="21" t="str">
        <f aca="false">IF(AND($D421="Sortie",$B421&lt;&gt;"",$E421&lt;&gt;""),IFERROR($E421*INDEX(Produits!$E$5:$E$204,MATCH($B421,Produits!$A$5:$A$204,0)),""),"")</f>
        <v/>
      </c>
      <c r="I421" s="23"/>
    </row>
    <row r="422" customFormat="false" ht="15" hidden="false" customHeight="false" outlineLevel="0" collapsed="false">
      <c r="A422" s="27"/>
      <c r="B422" s="23"/>
      <c r="C422" s="26" t="str">
        <f aca="false">IF($B422="","",IFERROR(INDEX(Produits!$B$5:$B$204,MATCH($B422,Produits!$A$5:$A$204,0)),"Code inconnu"))</f>
        <v/>
      </c>
      <c r="D422" s="23"/>
      <c r="E422" s="24"/>
      <c r="F422" s="21" t="str">
        <f aca="false">IF(OR($B422="",$D422=""),"",IFERROR(IF($D422="Entrée",INDEX(Produits!$E$5:$E$204,MATCH($B422,Produits!$A$5:$A$204,0)),INDEX(Produits!$F$5:$F$204,MATCH($B422,Produits!$A$5:$A$204,0))),""))</f>
        <v/>
      </c>
      <c r="G422" s="21" t="str">
        <f aca="false">IF(OR($F422="",$E422=""),"",$E422*$F422)</f>
        <v/>
      </c>
      <c r="H422" s="21" t="str">
        <f aca="false">IF(AND($D422="Sortie",$B422&lt;&gt;"",$E422&lt;&gt;""),IFERROR($E422*INDEX(Produits!$E$5:$E$204,MATCH($B422,Produits!$A$5:$A$204,0)),""),"")</f>
        <v/>
      </c>
      <c r="I422" s="23"/>
    </row>
    <row r="423" customFormat="false" ht="15" hidden="false" customHeight="false" outlineLevel="0" collapsed="false">
      <c r="A423" s="27"/>
      <c r="B423" s="23"/>
      <c r="C423" s="26" t="str">
        <f aca="false">IF($B423="","",IFERROR(INDEX(Produits!$B$5:$B$204,MATCH($B423,Produits!$A$5:$A$204,0)),"Code inconnu"))</f>
        <v/>
      </c>
      <c r="D423" s="23"/>
      <c r="E423" s="24"/>
      <c r="F423" s="21" t="str">
        <f aca="false">IF(OR($B423="",$D423=""),"",IFERROR(IF($D423="Entrée",INDEX(Produits!$E$5:$E$204,MATCH($B423,Produits!$A$5:$A$204,0)),INDEX(Produits!$F$5:$F$204,MATCH($B423,Produits!$A$5:$A$204,0))),""))</f>
        <v/>
      </c>
      <c r="G423" s="21" t="str">
        <f aca="false">IF(OR($F423="",$E423=""),"",$E423*$F423)</f>
        <v/>
      </c>
      <c r="H423" s="21" t="str">
        <f aca="false">IF(AND($D423="Sortie",$B423&lt;&gt;"",$E423&lt;&gt;""),IFERROR($E423*INDEX(Produits!$E$5:$E$204,MATCH($B423,Produits!$A$5:$A$204,0)),""),"")</f>
        <v/>
      </c>
      <c r="I423" s="23"/>
    </row>
    <row r="424" customFormat="false" ht="15" hidden="false" customHeight="false" outlineLevel="0" collapsed="false">
      <c r="A424" s="27"/>
      <c r="B424" s="23"/>
      <c r="C424" s="26" t="str">
        <f aca="false">IF($B424="","",IFERROR(INDEX(Produits!$B$5:$B$204,MATCH($B424,Produits!$A$5:$A$204,0)),"Code inconnu"))</f>
        <v/>
      </c>
      <c r="D424" s="23"/>
      <c r="E424" s="24"/>
      <c r="F424" s="21" t="str">
        <f aca="false">IF(OR($B424="",$D424=""),"",IFERROR(IF($D424="Entrée",INDEX(Produits!$E$5:$E$204,MATCH($B424,Produits!$A$5:$A$204,0)),INDEX(Produits!$F$5:$F$204,MATCH($B424,Produits!$A$5:$A$204,0))),""))</f>
        <v/>
      </c>
      <c r="G424" s="21" t="str">
        <f aca="false">IF(OR($F424="",$E424=""),"",$E424*$F424)</f>
        <v/>
      </c>
      <c r="H424" s="21" t="str">
        <f aca="false">IF(AND($D424="Sortie",$B424&lt;&gt;"",$E424&lt;&gt;""),IFERROR($E424*INDEX(Produits!$E$5:$E$204,MATCH($B424,Produits!$A$5:$A$204,0)),""),"")</f>
        <v/>
      </c>
      <c r="I424" s="23"/>
    </row>
    <row r="425" customFormat="false" ht="15" hidden="false" customHeight="false" outlineLevel="0" collapsed="false">
      <c r="A425" s="27"/>
      <c r="B425" s="23"/>
      <c r="C425" s="26" t="str">
        <f aca="false">IF($B425="","",IFERROR(INDEX(Produits!$B$5:$B$204,MATCH($B425,Produits!$A$5:$A$204,0)),"Code inconnu"))</f>
        <v/>
      </c>
      <c r="D425" s="23"/>
      <c r="E425" s="24"/>
      <c r="F425" s="21" t="str">
        <f aca="false">IF(OR($B425="",$D425=""),"",IFERROR(IF($D425="Entrée",INDEX(Produits!$E$5:$E$204,MATCH($B425,Produits!$A$5:$A$204,0)),INDEX(Produits!$F$5:$F$204,MATCH($B425,Produits!$A$5:$A$204,0))),""))</f>
        <v/>
      </c>
      <c r="G425" s="21" t="str">
        <f aca="false">IF(OR($F425="",$E425=""),"",$E425*$F425)</f>
        <v/>
      </c>
      <c r="H425" s="21" t="str">
        <f aca="false">IF(AND($D425="Sortie",$B425&lt;&gt;"",$E425&lt;&gt;""),IFERROR($E425*INDEX(Produits!$E$5:$E$204,MATCH($B425,Produits!$A$5:$A$204,0)),""),"")</f>
        <v/>
      </c>
      <c r="I425" s="23"/>
    </row>
    <row r="426" customFormat="false" ht="15" hidden="false" customHeight="false" outlineLevel="0" collapsed="false">
      <c r="A426" s="27"/>
      <c r="B426" s="23"/>
      <c r="C426" s="26" t="str">
        <f aca="false">IF($B426="","",IFERROR(INDEX(Produits!$B$5:$B$204,MATCH($B426,Produits!$A$5:$A$204,0)),"Code inconnu"))</f>
        <v/>
      </c>
      <c r="D426" s="23"/>
      <c r="E426" s="24"/>
      <c r="F426" s="21" t="str">
        <f aca="false">IF(OR($B426="",$D426=""),"",IFERROR(IF($D426="Entrée",INDEX(Produits!$E$5:$E$204,MATCH($B426,Produits!$A$5:$A$204,0)),INDEX(Produits!$F$5:$F$204,MATCH($B426,Produits!$A$5:$A$204,0))),""))</f>
        <v/>
      </c>
      <c r="G426" s="21" t="str">
        <f aca="false">IF(OR($F426="",$E426=""),"",$E426*$F426)</f>
        <v/>
      </c>
      <c r="H426" s="21" t="str">
        <f aca="false">IF(AND($D426="Sortie",$B426&lt;&gt;"",$E426&lt;&gt;""),IFERROR($E426*INDEX(Produits!$E$5:$E$204,MATCH($B426,Produits!$A$5:$A$204,0)),""),"")</f>
        <v/>
      </c>
      <c r="I426" s="23"/>
    </row>
    <row r="427" customFormat="false" ht="15" hidden="false" customHeight="false" outlineLevel="0" collapsed="false">
      <c r="A427" s="27"/>
      <c r="B427" s="23"/>
      <c r="C427" s="26" t="str">
        <f aca="false">IF($B427="","",IFERROR(INDEX(Produits!$B$5:$B$204,MATCH($B427,Produits!$A$5:$A$204,0)),"Code inconnu"))</f>
        <v/>
      </c>
      <c r="D427" s="23"/>
      <c r="E427" s="24"/>
      <c r="F427" s="21" t="str">
        <f aca="false">IF(OR($B427="",$D427=""),"",IFERROR(IF($D427="Entrée",INDEX(Produits!$E$5:$E$204,MATCH($B427,Produits!$A$5:$A$204,0)),INDEX(Produits!$F$5:$F$204,MATCH($B427,Produits!$A$5:$A$204,0))),""))</f>
        <v/>
      </c>
      <c r="G427" s="21" t="str">
        <f aca="false">IF(OR($F427="",$E427=""),"",$E427*$F427)</f>
        <v/>
      </c>
      <c r="H427" s="21" t="str">
        <f aca="false">IF(AND($D427="Sortie",$B427&lt;&gt;"",$E427&lt;&gt;""),IFERROR($E427*INDEX(Produits!$E$5:$E$204,MATCH($B427,Produits!$A$5:$A$204,0)),""),"")</f>
        <v/>
      </c>
      <c r="I427" s="23"/>
    </row>
    <row r="428" customFormat="false" ht="15" hidden="false" customHeight="false" outlineLevel="0" collapsed="false">
      <c r="A428" s="27"/>
      <c r="B428" s="23"/>
      <c r="C428" s="26" t="str">
        <f aca="false">IF($B428="","",IFERROR(INDEX(Produits!$B$5:$B$204,MATCH($B428,Produits!$A$5:$A$204,0)),"Code inconnu"))</f>
        <v/>
      </c>
      <c r="D428" s="23"/>
      <c r="E428" s="24"/>
      <c r="F428" s="21" t="str">
        <f aca="false">IF(OR($B428="",$D428=""),"",IFERROR(IF($D428="Entrée",INDEX(Produits!$E$5:$E$204,MATCH($B428,Produits!$A$5:$A$204,0)),INDEX(Produits!$F$5:$F$204,MATCH($B428,Produits!$A$5:$A$204,0))),""))</f>
        <v/>
      </c>
      <c r="G428" s="21" t="str">
        <f aca="false">IF(OR($F428="",$E428=""),"",$E428*$F428)</f>
        <v/>
      </c>
      <c r="H428" s="21" t="str">
        <f aca="false">IF(AND($D428="Sortie",$B428&lt;&gt;"",$E428&lt;&gt;""),IFERROR($E428*INDEX(Produits!$E$5:$E$204,MATCH($B428,Produits!$A$5:$A$204,0)),""),"")</f>
        <v/>
      </c>
      <c r="I428" s="23"/>
    </row>
    <row r="429" customFormat="false" ht="15" hidden="false" customHeight="false" outlineLevel="0" collapsed="false">
      <c r="A429" s="27"/>
      <c r="B429" s="23"/>
      <c r="C429" s="26" t="str">
        <f aca="false">IF($B429="","",IFERROR(INDEX(Produits!$B$5:$B$204,MATCH($B429,Produits!$A$5:$A$204,0)),"Code inconnu"))</f>
        <v/>
      </c>
      <c r="D429" s="23"/>
      <c r="E429" s="24"/>
      <c r="F429" s="21" t="str">
        <f aca="false">IF(OR($B429="",$D429=""),"",IFERROR(IF($D429="Entrée",INDEX(Produits!$E$5:$E$204,MATCH($B429,Produits!$A$5:$A$204,0)),INDEX(Produits!$F$5:$F$204,MATCH($B429,Produits!$A$5:$A$204,0))),""))</f>
        <v/>
      </c>
      <c r="G429" s="21" t="str">
        <f aca="false">IF(OR($F429="",$E429=""),"",$E429*$F429)</f>
        <v/>
      </c>
      <c r="H429" s="21" t="str">
        <f aca="false">IF(AND($D429="Sortie",$B429&lt;&gt;"",$E429&lt;&gt;""),IFERROR($E429*INDEX(Produits!$E$5:$E$204,MATCH($B429,Produits!$A$5:$A$204,0)),""),"")</f>
        <v/>
      </c>
      <c r="I429" s="23"/>
    </row>
    <row r="430" customFormat="false" ht="15" hidden="false" customHeight="false" outlineLevel="0" collapsed="false">
      <c r="A430" s="27"/>
      <c r="B430" s="23"/>
      <c r="C430" s="26" t="str">
        <f aca="false">IF($B430="","",IFERROR(INDEX(Produits!$B$5:$B$204,MATCH($B430,Produits!$A$5:$A$204,0)),"Code inconnu"))</f>
        <v/>
      </c>
      <c r="D430" s="23"/>
      <c r="E430" s="24"/>
      <c r="F430" s="21" t="str">
        <f aca="false">IF(OR($B430="",$D430=""),"",IFERROR(IF($D430="Entrée",INDEX(Produits!$E$5:$E$204,MATCH($B430,Produits!$A$5:$A$204,0)),INDEX(Produits!$F$5:$F$204,MATCH($B430,Produits!$A$5:$A$204,0))),""))</f>
        <v/>
      </c>
      <c r="G430" s="21" t="str">
        <f aca="false">IF(OR($F430="",$E430=""),"",$E430*$F430)</f>
        <v/>
      </c>
      <c r="H430" s="21" t="str">
        <f aca="false">IF(AND($D430="Sortie",$B430&lt;&gt;"",$E430&lt;&gt;""),IFERROR($E430*INDEX(Produits!$E$5:$E$204,MATCH($B430,Produits!$A$5:$A$204,0)),""),"")</f>
        <v/>
      </c>
      <c r="I430" s="23"/>
    </row>
    <row r="431" customFormat="false" ht="15" hidden="false" customHeight="false" outlineLevel="0" collapsed="false">
      <c r="A431" s="27"/>
      <c r="B431" s="23"/>
      <c r="C431" s="26" t="str">
        <f aca="false">IF($B431="","",IFERROR(INDEX(Produits!$B$5:$B$204,MATCH($B431,Produits!$A$5:$A$204,0)),"Code inconnu"))</f>
        <v/>
      </c>
      <c r="D431" s="23"/>
      <c r="E431" s="24"/>
      <c r="F431" s="21" t="str">
        <f aca="false">IF(OR($B431="",$D431=""),"",IFERROR(IF($D431="Entrée",INDEX(Produits!$E$5:$E$204,MATCH($B431,Produits!$A$5:$A$204,0)),INDEX(Produits!$F$5:$F$204,MATCH($B431,Produits!$A$5:$A$204,0))),""))</f>
        <v/>
      </c>
      <c r="G431" s="21" t="str">
        <f aca="false">IF(OR($F431="",$E431=""),"",$E431*$F431)</f>
        <v/>
      </c>
      <c r="H431" s="21" t="str">
        <f aca="false">IF(AND($D431="Sortie",$B431&lt;&gt;"",$E431&lt;&gt;""),IFERROR($E431*INDEX(Produits!$E$5:$E$204,MATCH($B431,Produits!$A$5:$A$204,0)),""),"")</f>
        <v/>
      </c>
      <c r="I431" s="23"/>
    </row>
    <row r="432" customFormat="false" ht="15" hidden="false" customHeight="false" outlineLevel="0" collapsed="false">
      <c r="A432" s="27"/>
      <c r="B432" s="23"/>
      <c r="C432" s="26" t="str">
        <f aca="false">IF($B432="","",IFERROR(INDEX(Produits!$B$5:$B$204,MATCH($B432,Produits!$A$5:$A$204,0)),"Code inconnu"))</f>
        <v/>
      </c>
      <c r="D432" s="23"/>
      <c r="E432" s="24"/>
      <c r="F432" s="21" t="str">
        <f aca="false">IF(OR($B432="",$D432=""),"",IFERROR(IF($D432="Entrée",INDEX(Produits!$E$5:$E$204,MATCH($B432,Produits!$A$5:$A$204,0)),INDEX(Produits!$F$5:$F$204,MATCH($B432,Produits!$A$5:$A$204,0))),""))</f>
        <v/>
      </c>
      <c r="G432" s="21" t="str">
        <f aca="false">IF(OR($F432="",$E432=""),"",$E432*$F432)</f>
        <v/>
      </c>
      <c r="H432" s="21" t="str">
        <f aca="false">IF(AND($D432="Sortie",$B432&lt;&gt;"",$E432&lt;&gt;""),IFERROR($E432*INDEX(Produits!$E$5:$E$204,MATCH($B432,Produits!$A$5:$A$204,0)),""),"")</f>
        <v/>
      </c>
      <c r="I432" s="23"/>
    </row>
    <row r="433" customFormat="false" ht="15" hidden="false" customHeight="false" outlineLevel="0" collapsed="false">
      <c r="A433" s="27"/>
      <c r="B433" s="23"/>
      <c r="C433" s="26" t="str">
        <f aca="false">IF($B433="","",IFERROR(INDEX(Produits!$B$5:$B$204,MATCH($B433,Produits!$A$5:$A$204,0)),"Code inconnu"))</f>
        <v/>
      </c>
      <c r="D433" s="23"/>
      <c r="E433" s="24"/>
      <c r="F433" s="21" t="str">
        <f aca="false">IF(OR($B433="",$D433=""),"",IFERROR(IF($D433="Entrée",INDEX(Produits!$E$5:$E$204,MATCH($B433,Produits!$A$5:$A$204,0)),INDEX(Produits!$F$5:$F$204,MATCH($B433,Produits!$A$5:$A$204,0))),""))</f>
        <v/>
      </c>
      <c r="G433" s="21" t="str">
        <f aca="false">IF(OR($F433="",$E433=""),"",$E433*$F433)</f>
        <v/>
      </c>
      <c r="H433" s="21" t="str">
        <f aca="false">IF(AND($D433="Sortie",$B433&lt;&gt;"",$E433&lt;&gt;""),IFERROR($E433*INDEX(Produits!$E$5:$E$204,MATCH($B433,Produits!$A$5:$A$204,0)),""),"")</f>
        <v/>
      </c>
      <c r="I433" s="23"/>
    </row>
    <row r="434" customFormat="false" ht="15" hidden="false" customHeight="false" outlineLevel="0" collapsed="false">
      <c r="A434" s="27"/>
      <c r="B434" s="23"/>
      <c r="C434" s="26" t="str">
        <f aca="false">IF($B434="","",IFERROR(INDEX(Produits!$B$5:$B$204,MATCH($B434,Produits!$A$5:$A$204,0)),"Code inconnu"))</f>
        <v/>
      </c>
      <c r="D434" s="23"/>
      <c r="E434" s="24"/>
      <c r="F434" s="21" t="str">
        <f aca="false">IF(OR($B434="",$D434=""),"",IFERROR(IF($D434="Entrée",INDEX(Produits!$E$5:$E$204,MATCH($B434,Produits!$A$5:$A$204,0)),INDEX(Produits!$F$5:$F$204,MATCH($B434,Produits!$A$5:$A$204,0))),""))</f>
        <v/>
      </c>
      <c r="G434" s="21" t="str">
        <f aca="false">IF(OR($F434="",$E434=""),"",$E434*$F434)</f>
        <v/>
      </c>
      <c r="H434" s="21" t="str">
        <f aca="false">IF(AND($D434="Sortie",$B434&lt;&gt;"",$E434&lt;&gt;""),IFERROR($E434*INDEX(Produits!$E$5:$E$204,MATCH($B434,Produits!$A$5:$A$204,0)),""),"")</f>
        <v/>
      </c>
      <c r="I434" s="23"/>
    </row>
    <row r="435" customFormat="false" ht="15" hidden="false" customHeight="false" outlineLevel="0" collapsed="false">
      <c r="A435" s="27"/>
      <c r="B435" s="23"/>
      <c r="C435" s="26" t="str">
        <f aca="false">IF($B435="","",IFERROR(INDEX(Produits!$B$5:$B$204,MATCH($B435,Produits!$A$5:$A$204,0)),"Code inconnu"))</f>
        <v/>
      </c>
      <c r="D435" s="23"/>
      <c r="E435" s="24"/>
      <c r="F435" s="21" t="str">
        <f aca="false">IF(OR($B435="",$D435=""),"",IFERROR(IF($D435="Entrée",INDEX(Produits!$E$5:$E$204,MATCH($B435,Produits!$A$5:$A$204,0)),INDEX(Produits!$F$5:$F$204,MATCH($B435,Produits!$A$5:$A$204,0))),""))</f>
        <v/>
      </c>
      <c r="G435" s="21" t="str">
        <f aca="false">IF(OR($F435="",$E435=""),"",$E435*$F435)</f>
        <v/>
      </c>
      <c r="H435" s="21" t="str">
        <f aca="false">IF(AND($D435="Sortie",$B435&lt;&gt;"",$E435&lt;&gt;""),IFERROR($E435*INDEX(Produits!$E$5:$E$204,MATCH($B435,Produits!$A$5:$A$204,0)),""),"")</f>
        <v/>
      </c>
      <c r="I435" s="23"/>
    </row>
    <row r="436" customFormat="false" ht="15" hidden="false" customHeight="false" outlineLevel="0" collapsed="false">
      <c r="A436" s="27"/>
      <c r="B436" s="23"/>
      <c r="C436" s="26" t="str">
        <f aca="false">IF($B436="","",IFERROR(INDEX(Produits!$B$5:$B$204,MATCH($B436,Produits!$A$5:$A$204,0)),"Code inconnu"))</f>
        <v/>
      </c>
      <c r="D436" s="23"/>
      <c r="E436" s="24"/>
      <c r="F436" s="21" t="str">
        <f aca="false">IF(OR($B436="",$D436=""),"",IFERROR(IF($D436="Entrée",INDEX(Produits!$E$5:$E$204,MATCH($B436,Produits!$A$5:$A$204,0)),INDEX(Produits!$F$5:$F$204,MATCH($B436,Produits!$A$5:$A$204,0))),""))</f>
        <v/>
      </c>
      <c r="G436" s="21" t="str">
        <f aca="false">IF(OR($F436="",$E436=""),"",$E436*$F436)</f>
        <v/>
      </c>
      <c r="H436" s="21" t="str">
        <f aca="false">IF(AND($D436="Sortie",$B436&lt;&gt;"",$E436&lt;&gt;""),IFERROR($E436*INDEX(Produits!$E$5:$E$204,MATCH($B436,Produits!$A$5:$A$204,0)),""),"")</f>
        <v/>
      </c>
      <c r="I436" s="23"/>
    </row>
    <row r="437" customFormat="false" ht="15" hidden="false" customHeight="false" outlineLevel="0" collapsed="false">
      <c r="A437" s="27"/>
      <c r="B437" s="23"/>
      <c r="C437" s="26" t="str">
        <f aca="false">IF($B437="","",IFERROR(INDEX(Produits!$B$5:$B$204,MATCH($B437,Produits!$A$5:$A$204,0)),"Code inconnu"))</f>
        <v/>
      </c>
      <c r="D437" s="23"/>
      <c r="E437" s="24"/>
      <c r="F437" s="21" t="str">
        <f aca="false">IF(OR($B437="",$D437=""),"",IFERROR(IF($D437="Entrée",INDEX(Produits!$E$5:$E$204,MATCH($B437,Produits!$A$5:$A$204,0)),INDEX(Produits!$F$5:$F$204,MATCH($B437,Produits!$A$5:$A$204,0))),""))</f>
        <v/>
      </c>
      <c r="G437" s="21" t="str">
        <f aca="false">IF(OR($F437="",$E437=""),"",$E437*$F437)</f>
        <v/>
      </c>
      <c r="H437" s="21" t="str">
        <f aca="false">IF(AND($D437="Sortie",$B437&lt;&gt;"",$E437&lt;&gt;""),IFERROR($E437*INDEX(Produits!$E$5:$E$204,MATCH($B437,Produits!$A$5:$A$204,0)),""),"")</f>
        <v/>
      </c>
      <c r="I437" s="23"/>
    </row>
    <row r="438" customFormat="false" ht="15" hidden="false" customHeight="false" outlineLevel="0" collapsed="false">
      <c r="A438" s="27"/>
      <c r="B438" s="23"/>
      <c r="C438" s="26" t="str">
        <f aca="false">IF($B438="","",IFERROR(INDEX(Produits!$B$5:$B$204,MATCH($B438,Produits!$A$5:$A$204,0)),"Code inconnu"))</f>
        <v/>
      </c>
      <c r="D438" s="23"/>
      <c r="E438" s="24"/>
      <c r="F438" s="21" t="str">
        <f aca="false">IF(OR($B438="",$D438=""),"",IFERROR(IF($D438="Entrée",INDEX(Produits!$E$5:$E$204,MATCH($B438,Produits!$A$5:$A$204,0)),INDEX(Produits!$F$5:$F$204,MATCH($B438,Produits!$A$5:$A$204,0))),""))</f>
        <v/>
      </c>
      <c r="G438" s="21" t="str">
        <f aca="false">IF(OR($F438="",$E438=""),"",$E438*$F438)</f>
        <v/>
      </c>
      <c r="H438" s="21" t="str">
        <f aca="false">IF(AND($D438="Sortie",$B438&lt;&gt;"",$E438&lt;&gt;""),IFERROR($E438*INDEX(Produits!$E$5:$E$204,MATCH($B438,Produits!$A$5:$A$204,0)),""),"")</f>
        <v/>
      </c>
      <c r="I438" s="23"/>
    </row>
    <row r="439" customFormat="false" ht="15" hidden="false" customHeight="false" outlineLevel="0" collapsed="false">
      <c r="A439" s="27"/>
      <c r="B439" s="23"/>
      <c r="C439" s="26" t="str">
        <f aca="false">IF($B439="","",IFERROR(INDEX(Produits!$B$5:$B$204,MATCH($B439,Produits!$A$5:$A$204,0)),"Code inconnu"))</f>
        <v/>
      </c>
      <c r="D439" s="23"/>
      <c r="E439" s="24"/>
      <c r="F439" s="21" t="str">
        <f aca="false">IF(OR($B439="",$D439=""),"",IFERROR(IF($D439="Entrée",INDEX(Produits!$E$5:$E$204,MATCH($B439,Produits!$A$5:$A$204,0)),INDEX(Produits!$F$5:$F$204,MATCH($B439,Produits!$A$5:$A$204,0))),""))</f>
        <v/>
      </c>
      <c r="G439" s="21" t="str">
        <f aca="false">IF(OR($F439="",$E439=""),"",$E439*$F439)</f>
        <v/>
      </c>
      <c r="H439" s="21" t="str">
        <f aca="false">IF(AND($D439="Sortie",$B439&lt;&gt;"",$E439&lt;&gt;""),IFERROR($E439*INDEX(Produits!$E$5:$E$204,MATCH($B439,Produits!$A$5:$A$204,0)),""),"")</f>
        <v/>
      </c>
      <c r="I439" s="23"/>
    </row>
    <row r="440" customFormat="false" ht="15" hidden="false" customHeight="false" outlineLevel="0" collapsed="false">
      <c r="A440" s="27"/>
      <c r="B440" s="23"/>
      <c r="C440" s="26" t="str">
        <f aca="false">IF($B440="","",IFERROR(INDEX(Produits!$B$5:$B$204,MATCH($B440,Produits!$A$5:$A$204,0)),"Code inconnu"))</f>
        <v/>
      </c>
      <c r="D440" s="23"/>
      <c r="E440" s="24"/>
      <c r="F440" s="21" t="str">
        <f aca="false">IF(OR($B440="",$D440=""),"",IFERROR(IF($D440="Entrée",INDEX(Produits!$E$5:$E$204,MATCH($B440,Produits!$A$5:$A$204,0)),INDEX(Produits!$F$5:$F$204,MATCH($B440,Produits!$A$5:$A$204,0))),""))</f>
        <v/>
      </c>
      <c r="G440" s="21" t="str">
        <f aca="false">IF(OR($F440="",$E440=""),"",$E440*$F440)</f>
        <v/>
      </c>
      <c r="H440" s="21" t="str">
        <f aca="false">IF(AND($D440="Sortie",$B440&lt;&gt;"",$E440&lt;&gt;""),IFERROR($E440*INDEX(Produits!$E$5:$E$204,MATCH($B440,Produits!$A$5:$A$204,0)),""),"")</f>
        <v/>
      </c>
      <c r="I440" s="23"/>
    </row>
    <row r="441" customFormat="false" ht="15" hidden="false" customHeight="false" outlineLevel="0" collapsed="false">
      <c r="A441" s="27"/>
      <c r="B441" s="23"/>
      <c r="C441" s="26" t="str">
        <f aca="false">IF($B441="","",IFERROR(INDEX(Produits!$B$5:$B$204,MATCH($B441,Produits!$A$5:$A$204,0)),"Code inconnu"))</f>
        <v/>
      </c>
      <c r="D441" s="23"/>
      <c r="E441" s="24"/>
      <c r="F441" s="21" t="str">
        <f aca="false">IF(OR($B441="",$D441=""),"",IFERROR(IF($D441="Entrée",INDEX(Produits!$E$5:$E$204,MATCH($B441,Produits!$A$5:$A$204,0)),INDEX(Produits!$F$5:$F$204,MATCH($B441,Produits!$A$5:$A$204,0))),""))</f>
        <v/>
      </c>
      <c r="G441" s="21" t="str">
        <f aca="false">IF(OR($F441="",$E441=""),"",$E441*$F441)</f>
        <v/>
      </c>
      <c r="H441" s="21" t="str">
        <f aca="false">IF(AND($D441="Sortie",$B441&lt;&gt;"",$E441&lt;&gt;""),IFERROR($E441*INDEX(Produits!$E$5:$E$204,MATCH($B441,Produits!$A$5:$A$204,0)),""),"")</f>
        <v/>
      </c>
      <c r="I441" s="23"/>
    </row>
    <row r="442" customFormat="false" ht="15" hidden="false" customHeight="false" outlineLevel="0" collapsed="false">
      <c r="A442" s="27"/>
      <c r="B442" s="23"/>
      <c r="C442" s="26" t="str">
        <f aca="false">IF($B442="","",IFERROR(INDEX(Produits!$B$5:$B$204,MATCH($B442,Produits!$A$5:$A$204,0)),"Code inconnu"))</f>
        <v/>
      </c>
      <c r="D442" s="23"/>
      <c r="E442" s="24"/>
      <c r="F442" s="21" t="str">
        <f aca="false">IF(OR($B442="",$D442=""),"",IFERROR(IF($D442="Entrée",INDEX(Produits!$E$5:$E$204,MATCH($B442,Produits!$A$5:$A$204,0)),INDEX(Produits!$F$5:$F$204,MATCH($B442,Produits!$A$5:$A$204,0))),""))</f>
        <v/>
      </c>
      <c r="G442" s="21" t="str">
        <f aca="false">IF(OR($F442="",$E442=""),"",$E442*$F442)</f>
        <v/>
      </c>
      <c r="H442" s="21" t="str">
        <f aca="false">IF(AND($D442="Sortie",$B442&lt;&gt;"",$E442&lt;&gt;""),IFERROR($E442*INDEX(Produits!$E$5:$E$204,MATCH($B442,Produits!$A$5:$A$204,0)),""),"")</f>
        <v/>
      </c>
      <c r="I442" s="23"/>
    </row>
    <row r="443" customFormat="false" ht="15" hidden="false" customHeight="false" outlineLevel="0" collapsed="false">
      <c r="A443" s="27"/>
      <c r="B443" s="23"/>
      <c r="C443" s="26" t="str">
        <f aca="false">IF($B443="","",IFERROR(INDEX(Produits!$B$5:$B$204,MATCH($B443,Produits!$A$5:$A$204,0)),"Code inconnu"))</f>
        <v/>
      </c>
      <c r="D443" s="23"/>
      <c r="E443" s="24"/>
      <c r="F443" s="21" t="str">
        <f aca="false">IF(OR($B443="",$D443=""),"",IFERROR(IF($D443="Entrée",INDEX(Produits!$E$5:$E$204,MATCH($B443,Produits!$A$5:$A$204,0)),INDEX(Produits!$F$5:$F$204,MATCH($B443,Produits!$A$5:$A$204,0))),""))</f>
        <v/>
      </c>
      <c r="G443" s="21" t="str">
        <f aca="false">IF(OR($F443="",$E443=""),"",$E443*$F443)</f>
        <v/>
      </c>
      <c r="H443" s="21" t="str">
        <f aca="false">IF(AND($D443="Sortie",$B443&lt;&gt;"",$E443&lt;&gt;""),IFERROR($E443*INDEX(Produits!$E$5:$E$204,MATCH($B443,Produits!$A$5:$A$204,0)),""),"")</f>
        <v/>
      </c>
      <c r="I443" s="23"/>
    </row>
    <row r="444" customFormat="false" ht="15" hidden="false" customHeight="false" outlineLevel="0" collapsed="false">
      <c r="A444" s="27"/>
      <c r="B444" s="23"/>
      <c r="C444" s="26" t="str">
        <f aca="false">IF($B444="","",IFERROR(INDEX(Produits!$B$5:$B$204,MATCH($B444,Produits!$A$5:$A$204,0)),"Code inconnu"))</f>
        <v/>
      </c>
      <c r="D444" s="23"/>
      <c r="E444" s="24"/>
      <c r="F444" s="21" t="str">
        <f aca="false">IF(OR($B444="",$D444=""),"",IFERROR(IF($D444="Entrée",INDEX(Produits!$E$5:$E$204,MATCH($B444,Produits!$A$5:$A$204,0)),INDEX(Produits!$F$5:$F$204,MATCH($B444,Produits!$A$5:$A$204,0))),""))</f>
        <v/>
      </c>
      <c r="G444" s="21" t="str">
        <f aca="false">IF(OR($F444="",$E444=""),"",$E444*$F444)</f>
        <v/>
      </c>
      <c r="H444" s="21" t="str">
        <f aca="false">IF(AND($D444="Sortie",$B444&lt;&gt;"",$E444&lt;&gt;""),IFERROR($E444*INDEX(Produits!$E$5:$E$204,MATCH($B444,Produits!$A$5:$A$204,0)),""),"")</f>
        <v/>
      </c>
      <c r="I444" s="23"/>
    </row>
    <row r="445" customFormat="false" ht="15" hidden="false" customHeight="false" outlineLevel="0" collapsed="false">
      <c r="A445" s="27"/>
      <c r="B445" s="23"/>
      <c r="C445" s="26" t="str">
        <f aca="false">IF($B445="","",IFERROR(INDEX(Produits!$B$5:$B$204,MATCH($B445,Produits!$A$5:$A$204,0)),"Code inconnu"))</f>
        <v/>
      </c>
      <c r="D445" s="23"/>
      <c r="E445" s="24"/>
      <c r="F445" s="21" t="str">
        <f aca="false">IF(OR($B445="",$D445=""),"",IFERROR(IF($D445="Entrée",INDEX(Produits!$E$5:$E$204,MATCH($B445,Produits!$A$5:$A$204,0)),INDEX(Produits!$F$5:$F$204,MATCH($B445,Produits!$A$5:$A$204,0))),""))</f>
        <v/>
      </c>
      <c r="G445" s="21" t="str">
        <f aca="false">IF(OR($F445="",$E445=""),"",$E445*$F445)</f>
        <v/>
      </c>
      <c r="H445" s="21" t="str">
        <f aca="false">IF(AND($D445="Sortie",$B445&lt;&gt;"",$E445&lt;&gt;""),IFERROR($E445*INDEX(Produits!$E$5:$E$204,MATCH($B445,Produits!$A$5:$A$204,0)),""),"")</f>
        <v/>
      </c>
      <c r="I445" s="23"/>
    </row>
    <row r="446" customFormat="false" ht="15" hidden="false" customHeight="false" outlineLevel="0" collapsed="false">
      <c r="A446" s="27"/>
      <c r="B446" s="23"/>
      <c r="C446" s="26" t="str">
        <f aca="false">IF($B446="","",IFERROR(INDEX(Produits!$B$5:$B$204,MATCH($B446,Produits!$A$5:$A$204,0)),"Code inconnu"))</f>
        <v/>
      </c>
      <c r="D446" s="23"/>
      <c r="E446" s="24"/>
      <c r="F446" s="21" t="str">
        <f aca="false">IF(OR($B446="",$D446=""),"",IFERROR(IF($D446="Entrée",INDEX(Produits!$E$5:$E$204,MATCH($B446,Produits!$A$5:$A$204,0)),INDEX(Produits!$F$5:$F$204,MATCH($B446,Produits!$A$5:$A$204,0))),""))</f>
        <v/>
      </c>
      <c r="G446" s="21" t="str">
        <f aca="false">IF(OR($F446="",$E446=""),"",$E446*$F446)</f>
        <v/>
      </c>
      <c r="H446" s="21" t="str">
        <f aca="false">IF(AND($D446="Sortie",$B446&lt;&gt;"",$E446&lt;&gt;""),IFERROR($E446*INDEX(Produits!$E$5:$E$204,MATCH($B446,Produits!$A$5:$A$204,0)),""),"")</f>
        <v/>
      </c>
      <c r="I446" s="23"/>
    </row>
    <row r="447" customFormat="false" ht="15" hidden="false" customHeight="false" outlineLevel="0" collapsed="false">
      <c r="A447" s="27"/>
      <c r="B447" s="23"/>
      <c r="C447" s="26" t="str">
        <f aca="false">IF($B447="","",IFERROR(INDEX(Produits!$B$5:$B$204,MATCH($B447,Produits!$A$5:$A$204,0)),"Code inconnu"))</f>
        <v/>
      </c>
      <c r="D447" s="23"/>
      <c r="E447" s="24"/>
      <c r="F447" s="21" t="str">
        <f aca="false">IF(OR($B447="",$D447=""),"",IFERROR(IF($D447="Entrée",INDEX(Produits!$E$5:$E$204,MATCH($B447,Produits!$A$5:$A$204,0)),INDEX(Produits!$F$5:$F$204,MATCH($B447,Produits!$A$5:$A$204,0))),""))</f>
        <v/>
      </c>
      <c r="G447" s="21" t="str">
        <f aca="false">IF(OR($F447="",$E447=""),"",$E447*$F447)</f>
        <v/>
      </c>
      <c r="H447" s="21" t="str">
        <f aca="false">IF(AND($D447="Sortie",$B447&lt;&gt;"",$E447&lt;&gt;""),IFERROR($E447*INDEX(Produits!$E$5:$E$204,MATCH($B447,Produits!$A$5:$A$204,0)),""),"")</f>
        <v/>
      </c>
      <c r="I447" s="23"/>
    </row>
    <row r="448" customFormat="false" ht="15" hidden="false" customHeight="false" outlineLevel="0" collapsed="false">
      <c r="A448" s="27"/>
      <c r="B448" s="23"/>
      <c r="C448" s="26" t="str">
        <f aca="false">IF($B448="","",IFERROR(INDEX(Produits!$B$5:$B$204,MATCH($B448,Produits!$A$5:$A$204,0)),"Code inconnu"))</f>
        <v/>
      </c>
      <c r="D448" s="23"/>
      <c r="E448" s="24"/>
      <c r="F448" s="21" t="str">
        <f aca="false">IF(OR($B448="",$D448=""),"",IFERROR(IF($D448="Entrée",INDEX(Produits!$E$5:$E$204,MATCH($B448,Produits!$A$5:$A$204,0)),INDEX(Produits!$F$5:$F$204,MATCH($B448,Produits!$A$5:$A$204,0))),""))</f>
        <v/>
      </c>
      <c r="G448" s="21" t="str">
        <f aca="false">IF(OR($F448="",$E448=""),"",$E448*$F448)</f>
        <v/>
      </c>
      <c r="H448" s="21" t="str">
        <f aca="false">IF(AND($D448="Sortie",$B448&lt;&gt;"",$E448&lt;&gt;""),IFERROR($E448*INDEX(Produits!$E$5:$E$204,MATCH($B448,Produits!$A$5:$A$204,0)),""),"")</f>
        <v/>
      </c>
      <c r="I448" s="23"/>
    </row>
    <row r="449" customFormat="false" ht="15" hidden="false" customHeight="false" outlineLevel="0" collapsed="false">
      <c r="A449" s="27"/>
      <c r="B449" s="23"/>
      <c r="C449" s="26" t="str">
        <f aca="false">IF($B449="","",IFERROR(INDEX(Produits!$B$5:$B$204,MATCH($B449,Produits!$A$5:$A$204,0)),"Code inconnu"))</f>
        <v/>
      </c>
      <c r="D449" s="23"/>
      <c r="E449" s="24"/>
      <c r="F449" s="21" t="str">
        <f aca="false">IF(OR($B449="",$D449=""),"",IFERROR(IF($D449="Entrée",INDEX(Produits!$E$5:$E$204,MATCH($B449,Produits!$A$5:$A$204,0)),INDEX(Produits!$F$5:$F$204,MATCH($B449,Produits!$A$5:$A$204,0))),""))</f>
        <v/>
      </c>
      <c r="G449" s="21" t="str">
        <f aca="false">IF(OR($F449="",$E449=""),"",$E449*$F449)</f>
        <v/>
      </c>
      <c r="H449" s="21" t="str">
        <f aca="false">IF(AND($D449="Sortie",$B449&lt;&gt;"",$E449&lt;&gt;""),IFERROR($E449*INDEX(Produits!$E$5:$E$204,MATCH($B449,Produits!$A$5:$A$204,0)),""),"")</f>
        <v/>
      </c>
      <c r="I449" s="23"/>
    </row>
    <row r="450" customFormat="false" ht="15" hidden="false" customHeight="false" outlineLevel="0" collapsed="false">
      <c r="A450" s="27"/>
      <c r="B450" s="23"/>
      <c r="C450" s="26" t="str">
        <f aca="false">IF($B450="","",IFERROR(INDEX(Produits!$B$5:$B$204,MATCH($B450,Produits!$A$5:$A$204,0)),"Code inconnu"))</f>
        <v/>
      </c>
      <c r="D450" s="23"/>
      <c r="E450" s="24"/>
      <c r="F450" s="21" t="str">
        <f aca="false">IF(OR($B450="",$D450=""),"",IFERROR(IF($D450="Entrée",INDEX(Produits!$E$5:$E$204,MATCH($B450,Produits!$A$5:$A$204,0)),INDEX(Produits!$F$5:$F$204,MATCH($B450,Produits!$A$5:$A$204,0))),""))</f>
        <v/>
      </c>
      <c r="G450" s="21" t="str">
        <f aca="false">IF(OR($F450="",$E450=""),"",$E450*$F450)</f>
        <v/>
      </c>
      <c r="H450" s="21" t="str">
        <f aca="false">IF(AND($D450="Sortie",$B450&lt;&gt;"",$E450&lt;&gt;""),IFERROR($E450*INDEX(Produits!$E$5:$E$204,MATCH($B450,Produits!$A$5:$A$204,0)),""),"")</f>
        <v/>
      </c>
      <c r="I450" s="23"/>
    </row>
    <row r="451" customFormat="false" ht="15" hidden="false" customHeight="false" outlineLevel="0" collapsed="false">
      <c r="A451" s="27"/>
      <c r="B451" s="23"/>
      <c r="C451" s="26" t="str">
        <f aca="false">IF($B451="","",IFERROR(INDEX(Produits!$B$5:$B$204,MATCH($B451,Produits!$A$5:$A$204,0)),"Code inconnu"))</f>
        <v/>
      </c>
      <c r="D451" s="23"/>
      <c r="E451" s="24"/>
      <c r="F451" s="21" t="str">
        <f aca="false">IF(OR($B451="",$D451=""),"",IFERROR(IF($D451="Entrée",INDEX(Produits!$E$5:$E$204,MATCH($B451,Produits!$A$5:$A$204,0)),INDEX(Produits!$F$5:$F$204,MATCH($B451,Produits!$A$5:$A$204,0))),""))</f>
        <v/>
      </c>
      <c r="G451" s="21" t="str">
        <f aca="false">IF(OR($F451="",$E451=""),"",$E451*$F451)</f>
        <v/>
      </c>
      <c r="H451" s="21" t="str">
        <f aca="false">IF(AND($D451="Sortie",$B451&lt;&gt;"",$E451&lt;&gt;""),IFERROR($E451*INDEX(Produits!$E$5:$E$204,MATCH($B451,Produits!$A$5:$A$204,0)),""),"")</f>
        <v/>
      </c>
      <c r="I451" s="23"/>
    </row>
    <row r="452" customFormat="false" ht="15" hidden="false" customHeight="false" outlineLevel="0" collapsed="false">
      <c r="A452" s="27"/>
      <c r="B452" s="23"/>
      <c r="C452" s="26" t="str">
        <f aca="false">IF($B452="","",IFERROR(INDEX(Produits!$B$5:$B$204,MATCH($B452,Produits!$A$5:$A$204,0)),"Code inconnu"))</f>
        <v/>
      </c>
      <c r="D452" s="23"/>
      <c r="E452" s="24"/>
      <c r="F452" s="21" t="str">
        <f aca="false">IF(OR($B452="",$D452=""),"",IFERROR(IF($D452="Entrée",INDEX(Produits!$E$5:$E$204,MATCH($B452,Produits!$A$5:$A$204,0)),INDEX(Produits!$F$5:$F$204,MATCH($B452,Produits!$A$5:$A$204,0))),""))</f>
        <v/>
      </c>
      <c r="G452" s="21" t="str">
        <f aca="false">IF(OR($F452="",$E452=""),"",$E452*$F452)</f>
        <v/>
      </c>
      <c r="H452" s="21" t="str">
        <f aca="false">IF(AND($D452="Sortie",$B452&lt;&gt;"",$E452&lt;&gt;""),IFERROR($E452*INDEX(Produits!$E$5:$E$204,MATCH($B452,Produits!$A$5:$A$204,0)),""),"")</f>
        <v/>
      </c>
      <c r="I452" s="23"/>
    </row>
    <row r="453" customFormat="false" ht="15" hidden="false" customHeight="false" outlineLevel="0" collapsed="false">
      <c r="A453" s="27"/>
      <c r="B453" s="23"/>
      <c r="C453" s="26" t="str">
        <f aca="false">IF($B453="","",IFERROR(INDEX(Produits!$B$5:$B$204,MATCH($B453,Produits!$A$5:$A$204,0)),"Code inconnu"))</f>
        <v/>
      </c>
      <c r="D453" s="23"/>
      <c r="E453" s="24"/>
      <c r="F453" s="21" t="str">
        <f aca="false">IF(OR($B453="",$D453=""),"",IFERROR(IF($D453="Entrée",INDEX(Produits!$E$5:$E$204,MATCH($B453,Produits!$A$5:$A$204,0)),INDEX(Produits!$F$5:$F$204,MATCH($B453,Produits!$A$5:$A$204,0))),""))</f>
        <v/>
      </c>
      <c r="G453" s="21" t="str">
        <f aca="false">IF(OR($F453="",$E453=""),"",$E453*$F453)</f>
        <v/>
      </c>
      <c r="H453" s="21" t="str">
        <f aca="false">IF(AND($D453="Sortie",$B453&lt;&gt;"",$E453&lt;&gt;""),IFERROR($E453*INDEX(Produits!$E$5:$E$204,MATCH($B453,Produits!$A$5:$A$204,0)),""),"")</f>
        <v/>
      </c>
      <c r="I453" s="23"/>
    </row>
    <row r="454" customFormat="false" ht="15" hidden="false" customHeight="false" outlineLevel="0" collapsed="false">
      <c r="A454" s="27"/>
      <c r="B454" s="23"/>
      <c r="C454" s="26" t="str">
        <f aca="false">IF($B454="","",IFERROR(INDEX(Produits!$B$5:$B$204,MATCH($B454,Produits!$A$5:$A$204,0)),"Code inconnu"))</f>
        <v/>
      </c>
      <c r="D454" s="23"/>
      <c r="E454" s="24"/>
      <c r="F454" s="21" t="str">
        <f aca="false">IF(OR($B454="",$D454=""),"",IFERROR(IF($D454="Entrée",INDEX(Produits!$E$5:$E$204,MATCH($B454,Produits!$A$5:$A$204,0)),INDEX(Produits!$F$5:$F$204,MATCH($B454,Produits!$A$5:$A$204,0))),""))</f>
        <v/>
      </c>
      <c r="G454" s="21" t="str">
        <f aca="false">IF(OR($F454="",$E454=""),"",$E454*$F454)</f>
        <v/>
      </c>
      <c r="H454" s="21" t="str">
        <f aca="false">IF(AND($D454="Sortie",$B454&lt;&gt;"",$E454&lt;&gt;""),IFERROR($E454*INDEX(Produits!$E$5:$E$204,MATCH($B454,Produits!$A$5:$A$204,0)),""),"")</f>
        <v/>
      </c>
      <c r="I454" s="23"/>
    </row>
    <row r="455" customFormat="false" ht="15" hidden="false" customHeight="false" outlineLevel="0" collapsed="false">
      <c r="A455" s="27"/>
      <c r="B455" s="23"/>
      <c r="C455" s="26" t="str">
        <f aca="false">IF($B455="","",IFERROR(INDEX(Produits!$B$5:$B$204,MATCH($B455,Produits!$A$5:$A$204,0)),"Code inconnu"))</f>
        <v/>
      </c>
      <c r="D455" s="23"/>
      <c r="E455" s="24"/>
      <c r="F455" s="21" t="str">
        <f aca="false">IF(OR($B455="",$D455=""),"",IFERROR(IF($D455="Entrée",INDEX(Produits!$E$5:$E$204,MATCH($B455,Produits!$A$5:$A$204,0)),INDEX(Produits!$F$5:$F$204,MATCH($B455,Produits!$A$5:$A$204,0))),""))</f>
        <v/>
      </c>
      <c r="G455" s="21" t="str">
        <f aca="false">IF(OR($F455="",$E455=""),"",$E455*$F455)</f>
        <v/>
      </c>
      <c r="H455" s="21" t="str">
        <f aca="false">IF(AND($D455="Sortie",$B455&lt;&gt;"",$E455&lt;&gt;""),IFERROR($E455*INDEX(Produits!$E$5:$E$204,MATCH($B455,Produits!$A$5:$A$204,0)),""),"")</f>
        <v/>
      </c>
      <c r="I455" s="23"/>
    </row>
    <row r="456" customFormat="false" ht="15" hidden="false" customHeight="false" outlineLevel="0" collapsed="false">
      <c r="A456" s="27"/>
      <c r="B456" s="23"/>
      <c r="C456" s="26" t="str">
        <f aca="false">IF($B456="","",IFERROR(INDEX(Produits!$B$5:$B$204,MATCH($B456,Produits!$A$5:$A$204,0)),"Code inconnu"))</f>
        <v/>
      </c>
      <c r="D456" s="23"/>
      <c r="E456" s="24"/>
      <c r="F456" s="21" t="str">
        <f aca="false">IF(OR($B456="",$D456=""),"",IFERROR(IF($D456="Entrée",INDEX(Produits!$E$5:$E$204,MATCH($B456,Produits!$A$5:$A$204,0)),INDEX(Produits!$F$5:$F$204,MATCH($B456,Produits!$A$5:$A$204,0))),""))</f>
        <v/>
      </c>
      <c r="G456" s="21" t="str">
        <f aca="false">IF(OR($F456="",$E456=""),"",$E456*$F456)</f>
        <v/>
      </c>
      <c r="H456" s="21" t="str">
        <f aca="false">IF(AND($D456="Sortie",$B456&lt;&gt;"",$E456&lt;&gt;""),IFERROR($E456*INDEX(Produits!$E$5:$E$204,MATCH($B456,Produits!$A$5:$A$204,0)),""),"")</f>
        <v/>
      </c>
      <c r="I456" s="23"/>
    </row>
    <row r="457" customFormat="false" ht="15" hidden="false" customHeight="false" outlineLevel="0" collapsed="false">
      <c r="A457" s="27"/>
      <c r="B457" s="23"/>
      <c r="C457" s="26" t="str">
        <f aca="false">IF($B457="","",IFERROR(INDEX(Produits!$B$5:$B$204,MATCH($B457,Produits!$A$5:$A$204,0)),"Code inconnu"))</f>
        <v/>
      </c>
      <c r="D457" s="23"/>
      <c r="E457" s="24"/>
      <c r="F457" s="21" t="str">
        <f aca="false">IF(OR($B457="",$D457=""),"",IFERROR(IF($D457="Entrée",INDEX(Produits!$E$5:$E$204,MATCH($B457,Produits!$A$5:$A$204,0)),INDEX(Produits!$F$5:$F$204,MATCH($B457,Produits!$A$5:$A$204,0))),""))</f>
        <v/>
      </c>
      <c r="G457" s="21" t="str">
        <f aca="false">IF(OR($F457="",$E457=""),"",$E457*$F457)</f>
        <v/>
      </c>
      <c r="H457" s="21" t="str">
        <f aca="false">IF(AND($D457="Sortie",$B457&lt;&gt;"",$E457&lt;&gt;""),IFERROR($E457*INDEX(Produits!$E$5:$E$204,MATCH($B457,Produits!$A$5:$A$204,0)),""),"")</f>
        <v/>
      </c>
      <c r="I457" s="23"/>
    </row>
    <row r="458" customFormat="false" ht="15" hidden="false" customHeight="false" outlineLevel="0" collapsed="false">
      <c r="A458" s="27"/>
      <c r="B458" s="23"/>
      <c r="C458" s="26" t="str">
        <f aca="false">IF($B458="","",IFERROR(INDEX(Produits!$B$5:$B$204,MATCH($B458,Produits!$A$5:$A$204,0)),"Code inconnu"))</f>
        <v/>
      </c>
      <c r="D458" s="23"/>
      <c r="E458" s="24"/>
      <c r="F458" s="21" t="str">
        <f aca="false">IF(OR($B458="",$D458=""),"",IFERROR(IF($D458="Entrée",INDEX(Produits!$E$5:$E$204,MATCH($B458,Produits!$A$5:$A$204,0)),INDEX(Produits!$F$5:$F$204,MATCH($B458,Produits!$A$5:$A$204,0))),""))</f>
        <v/>
      </c>
      <c r="G458" s="21" t="str">
        <f aca="false">IF(OR($F458="",$E458=""),"",$E458*$F458)</f>
        <v/>
      </c>
      <c r="H458" s="21" t="str">
        <f aca="false">IF(AND($D458="Sortie",$B458&lt;&gt;"",$E458&lt;&gt;""),IFERROR($E458*INDEX(Produits!$E$5:$E$204,MATCH($B458,Produits!$A$5:$A$204,0)),""),"")</f>
        <v/>
      </c>
      <c r="I458" s="23"/>
    </row>
    <row r="459" customFormat="false" ht="15" hidden="false" customHeight="false" outlineLevel="0" collapsed="false">
      <c r="A459" s="27"/>
      <c r="B459" s="23"/>
      <c r="C459" s="26" t="str">
        <f aca="false">IF($B459="","",IFERROR(INDEX(Produits!$B$5:$B$204,MATCH($B459,Produits!$A$5:$A$204,0)),"Code inconnu"))</f>
        <v/>
      </c>
      <c r="D459" s="23"/>
      <c r="E459" s="24"/>
      <c r="F459" s="21" t="str">
        <f aca="false">IF(OR($B459="",$D459=""),"",IFERROR(IF($D459="Entrée",INDEX(Produits!$E$5:$E$204,MATCH($B459,Produits!$A$5:$A$204,0)),INDEX(Produits!$F$5:$F$204,MATCH($B459,Produits!$A$5:$A$204,0))),""))</f>
        <v/>
      </c>
      <c r="G459" s="21" t="str">
        <f aca="false">IF(OR($F459="",$E459=""),"",$E459*$F459)</f>
        <v/>
      </c>
      <c r="H459" s="21" t="str">
        <f aca="false">IF(AND($D459="Sortie",$B459&lt;&gt;"",$E459&lt;&gt;""),IFERROR($E459*INDEX(Produits!$E$5:$E$204,MATCH($B459,Produits!$A$5:$A$204,0)),""),"")</f>
        <v/>
      </c>
      <c r="I459" s="23"/>
    </row>
    <row r="460" customFormat="false" ht="15" hidden="false" customHeight="false" outlineLevel="0" collapsed="false">
      <c r="A460" s="27"/>
      <c r="B460" s="23"/>
      <c r="C460" s="26" t="str">
        <f aca="false">IF($B460="","",IFERROR(INDEX(Produits!$B$5:$B$204,MATCH($B460,Produits!$A$5:$A$204,0)),"Code inconnu"))</f>
        <v/>
      </c>
      <c r="D460" s="23"/>
      <c r="E460" s="24"/>
      <c r="F460" s="21" t="str">
        <f aca="false">IF(OR($B460="",$D460=""),"",IFERROR(IF($D460="Entrée",INDEX(Produits!$E$5:$E$204,MATCH($B460,Produits!$A$5:$A$204,0)),INDEX(Produits!$F$5:$F$204,MATCH($B460,Produits!$A$5:$A$204,0))),""))</f>
        <v/>
      </c>
      <c r="G460" s="21" t="str">
        <f aca="false">IF(OR($F460="",$E460=""),"",$E460*$F460)</f>
        <v/>
      </c>
      <c r="H460" s="21" t="str">
        <f aca="false">IF(AND($D460="Sortie",$B460&lt;&gt;"",$E460&lt;&gt;""),IFERROR($E460*INDEX(Produits!$E$5:$E$204,MATCH($B460,Produits!$A$5:$A$204,0)),""),"")</f>
        <v/>
      </c>
      <c r="I460" s="23"/>
    </row>
    <row r="461" customFormat="false" ht="15" hidden="false" customHeight="false" outlineLevel="0" collapsed="false">
      <c r="A461" s="27"/>
      <c r="B461" s="23"/>
      <c r="C461" s="26" t="str">
        <f aca="false">IF($B461="","",IFERROR(INDEX(Produits!$B$5:$B$204,MATCH($B461,Produits!$A$5:$A$204,0)),"Code inconnu"))</f>
        <v/>
      </c>
      <c r="D461" s="23"/>
      <c r="E461" s="24"/>
      <c r="F461" s="21" t="str">
        <f aca="false">IF(OR($B461="",$D461=""),"",IFERROR(IF($D461="Entrée",INDEX(Produits!$E$5:$E$204,MATCH($B461,Produits!$A$5:$A$204,0)),INDEX(Produits!$F$5:$F$204,MATCH($B461,Produits!$A$5:$A$204,0))),""))</f>
        <v/>
      </c>
      <c r="G461" s="21" t="str">
        <f aca="false">IF(OR($F461="",$E461=""),"",$E461*$F461)</f>
        <v/>
      </c>
      <c r="H461" s="21" t="str">
        <f aca="false">IF(AND($D461="Sortie",$B461&lt;&gt;"",$E461&lt;&gt;""),IFERROR($E461*INDEX(Produits!$E$5:$E$204,MATCH($B461,Produits!$A$5:$A$204,0)),""),"")</f>
        <v/>
      </c>
      <c r="I461" s="23"/>
    </row>
    <row r="462" customFormat="false" ht="15" hidden="false" customHeight="false" outlineLevel="0" collapsed="false">
      <c r="A462" s="27"/>
      <c r="B462" s="23"/>
      <c r="C462" s="26" t="str">
        <f aca="false">IF($B462="","",IFERROR(INDEX(Produits!$B$5:$B$204,MATCH($B462,Produits!$A$5:$A$204,0)),"Code inconnu"))</f>
        <v/>
      </c>
      <c r="D462" s="23"/>
      <c r="E462" s="24"/>
      <c r="F462" s="21" t="str">
        <f aca="false">IF(OR($B462="",$D462=""),"",IFERROR(IF($D462="Entrée",INDEX(Produits!$E$5:$E$204,MATCH($B462,Produits!$A$5:$A$204,0)),INDEX(Produits!$F$5:$F$204,MATCH($B462,Produits!$A$5:$A$204,0))),""))</f>
        <v/>
      </c>
      <c r="G462" s="21" t="str">
        <f aca="false">IF(OR($F462="",$E462=""),"",$E462*$F462)</f>
        <v/>
      </c>
      <c r="H462" s="21" t="str">
        <f aca="false">IF(AND($D462="Sortie",$B462&lt;&gt;"",$E462&lt;&gt;""),IFERROR($E462*INDEX(Produits!$E$5:$E$204,MATCH($B462,Produits!$A$5:$A$204,0)),""),"")</f>
        <v/>
      </c>
      <c r="I462" s="23"/>
    </row>
    <row r="463" customFormat="false" ht="15" hidden="false" customHeight="false" outlineLevel="0" collapsed="false">
      <c r="A463" s="27"/>
      <c r="B463" s="23"/>
      <c r="C463" s="26" t="str">
        <f aca="false">IF($B463="","",IFERROR(INDEX(Produits!$B$5:$B$204,MATCH($B463,Produits!$A$5:$A$204,0)),"Code inconnu"))</f>
        <v/>
      </c>
      <c r="D463" s="23"/>
      <c r="E463" s="24"/>
      <c r="F463" s="21" t="str">
        <f aca="false">IF(OR($B463="",$D463=""),"",IFERROR(IF($D463="Entrée",INDEX(Produits!$E$5:$E$204,MATCH($B463,Produits!$A$5:$A$204,0)),INDEX(Produits!$F$5:$F$204,MATCH($B463,Produits!$A$5:$A$204,0))),""))</f>
        <v/>
      </c>
      <c r="G463" s="21" t="str">
        <f aca="false">IF(OR($F463="",$E463=""),"",$E463*$F463)</f>
        <v/>
      </c>
      <c r="H463" s="21" t="str">
        <f aca="false">IF(AND($D463="Sortie",$B463&lt;&gt;"",$E463&lt;&gt;""),IFERROR($E463*INDEX(Produits!$E$5:$E$204,MATCH($B463,Produits!$A$5:$A$204,0)),""),"")</f>
        <v/>
      </c>
      <c r="I463" s="23"/>
    </row>
    <row r="464" customFormat="false" ht="15" hidden="false" customHeight="false" outlineLevel="0" collapsed="false">
      <c r="A464" s="27"/>
      <c r="B464" s="23"/>
      <c r="C464" s="26" t="str">
        <f aca="false">IF($B464="","",IFERROR(INDEX(Produits!$B$5:$B$204,MATCH($B464,Produits!$A$5:$A$204,0)),"Code inconnu"))</f>
        <v/>
      </c>
      <c r="D464" s="23"/>
      <c r="E464" s="24"/>
      <c r="F464" s="21" t="str">
        <f aca="false">IF(OR($B464="",$D464=""),"",IFERROR(IF($D464="Entrée",INDEX(Produits!$E$5:$E$204,MATCH($B464,Produits!$A$5:$A$204,0)),INDEX(Produits!$F$5:$F$204,MATCH($B464,Produits!$A$5:$A$204,0))),""))</f>
        <v/>
      </c>
      <c r="G464" s="21" t="str">
        <f aca="false">IF(OR($F464="",$E464=""),"",$E464*$F464)</f>
        <v/>
      </c>
      <c r="H464" s="21" t="str">
        <f aca="false">IF(AND($D464="Sortie",$B464&lt;&gt;"",$E464&lt;&gt;""),IFERROR($E464*INDEX(Produits!$E$5:$E$204,MATCH($B464,Produits!$A$5:$A$204,0)),""),"")</f>
        <v/>
      </c>
      <c r="I464" s="23"/>
    </row>
    <row r="465" customFormat="false" ht="15" hidden="false" customHeight="false" outlineLevel="0" collapsed="false">
      <c r="A465" s="27"/>
      <c r="B465" s="23"/>
      <c r="C465" s="26" t="str">
        <f aca="false">IF($B465="","",IFERROR(INDEX(Produits!$B$5:$B$204,MATCH($B465,Produits!$A$5:$A$204,0)),"Code inconnu"))</f>
        <v/>
      </c>
      <c r="D465" s="23"/>
      <c r="E465" s="24"/>
      <c r="F465" s="21" t="str">
        <f aca="false">IF(OR($B465="",$D465=""),"",IFERROR(IF($D465="Entrée",INDEX(Produits!$E$5:$E$204,MATCH($B465,Produits!$A$5:$A$204,0)),INDEX(Produits!$F$5:$F$204,MATCH($B465,Produits!$A$5:$A$204,0))),""))</f>
        <v/>
      </c>
      <c r="G465" s="21" t="str">
        <f aca="false">IF(OR($F465="",$E465=""),"",$E465*$F465)</f>
        <v/>
      </c>
      <c r="H465" s="21" t="str">
        <f aca="false">IF(AND($D465="Sortie",$B465&lt;&gt;"",$E465&lt;&gt;""),IFERROR($E465*INDEX(Produits!$E$5:$E$204,MATCH($B465,Produits!$A$5:$A$204,0)),""),"")</f>
        <v/>
      </c>
      <c r="I465" s="23"/>
    </row>
    <row r="466" customFormat="false" ht="15" hidden="false" customHeight="false" outlineLevel="0" collapsed="false">
      <c r="A466" s="27"/>
      <c r="B466" s="23"/>
      <c r="C466" s="26" t="str">
        <f aca="false">IF($B466="","",IFERROR(INDEX(Produits!$B$5:$B$204,MATCH($B466,Produits!$A$5:$A$204,0)),"Code inconnu"))</f>
        <v/>
      </c>
      <c r="D466" s="23"/>
      <c r="E466" s="24"/>
      <c r="F466" s="21" t="str">
        <f aca="false">IF(OR($B466="",$D466=""),"",IFERROR(IF($D466="Entrée",INDEX(Produits!$E$5:$E$204,MATCH($B466,Produits!$A$5:$A$204,0)),INDEX(Produits!$F$5:$F$204,MATCH($B466,Produits!$A$5:$A$204,0))),""))</f>
        <v/>
      </c>
      <c r="G466" s="21" t="str">
        <f aca="false">IF(OR($F466="",$E466=""),"",$E466*$F466)</f>
        <v/>
      </c>
      <c r="H466" s="21" t="str">
        <f aca="false">IF(AND($D466="Sortie",$B466&lt;&gt;"",$E466&lt;&gt;""),IFERROR($E466*INDEX(Produits!$E$5:$E$204,MATCH($B466,Produits!$A$5:$A$204,0)),""),"")</f>
        <v/>
      </c>
      <c r="I466" s="23"/>
    </row>
    <row r="467" customFormat="false" ht="15" hidden="false" customHeight="false" outlineLevel="0" collapsed="false">
      <c r="A467" s="27"/>
      <c r="B467" s="23"/>
      <c r="C467" s="26" t="str">
        <f aca="false">IF($B467="","",IFERROR(INDEX(Produits!$B$5:$B$204,MATCH($B467,Produits!$A$5:$A$204,0)),"Code inconnu"))</f>
        <v/>
      </c>
      <c r="D467" s="23"/>
      <c r="E467" s="24"/>
      <c r="F467" s="21" t="str">
        <f aca="false">IF(OR($B467="",$D467=""),"",IFERROR(IF($D467="Entrée",INDEX(Produits!$E$5:$E$204,MATCH($B467,Produits!$A$5:$A$204,0)),INDEX(Produits!$F$5:$F$204,MATCH($B467,Produits!$A$5:$A$204,0))),""))</f>
        <v/>
      </c>
      <c r="G467" s="21" t="str">
        <f aca="false">IF(OR($F467="",$E467=""),"",$E467*$F467)</f>
        <v/>
      </c>
      <c r="H467" s="21" t="str">
        <f aca="false">IF(AND($D467="Sortie",$B467&lt;&gt;"",$E467&lt;&gt;""),IFERROR($E467*INDEX(Produits!$E$5:$E$204,MATCH($B467,Produits!$A$5:$A$204,0)),""),"")</f>
        <v/>
      </c>
      <c r="I467" s="23"/>
    </row>
    <row r="468" customFormat="false" ht="15" hidden="false" customHeight="false" outlineLevel="0" collapsed="false">
      <c r="A468" s="27"/>
      <c r="B468" s="23"/>
      <c r="C468" s="26" t="str">
        <f aca="false">IF($B468="","",IFERROR(INDEX(Produits!$B$5:$B$204,MATCH($B468,Produits!$A$5:$A$204,0)),"Code inconnu"))</f>
        <v/>
      </c>
      <c r="D468" s="23"/>
      <c r="E468" s="24"/>
      <c r="F468" s="21" t="str">
        <f aca="false">IF(OR($B468="",$D468=""),"",IFERROR(IF($D468="Entrée",INDEX(Produits!$E$5:$E$204,MATCH($B468,Produits!$A$5:$A$204,0)),INDEX(Produits!$F$5:$F$204,MATCH($B468,Produits!$A$5:$A$204,0))),""))</f>
        <v/>
      </c>
      <c r="G468" s="21" t="str">
        <f aca="false">IF(OR($F468="",$E468=""),"",$E468*$F468)</f>
        <v/>
      </c>
      <c r="H468" s="21" t="str">
        <f aca="false">IF(AND($D468="Sortie",$B468&lt;&gt;"",$E468&lt;&gt;""),IFERROR($E468*INDEX(Produits!$E$5:$E$204,MATCH($B468,Produits!$A$5:$A$204,0)),""),"")</f>
        <v/>
      </c>
      <c r="I468" s="23"/>
    </row>
    <row r="469" customFormat="false" ht="15" hidden="false" customHeight="false" outlineLevel="0" collapsed="false">
      <c r="A469" s="27"/>
      <c r="B469" s="23"/>
      <c r="C469" s="26" t="str">
        <f aca="false">IF($B469="","",IFERROR(INDEX(Produits!$B$5:$B$204,MATCH($B469,Produits!$A$5:$A$204,0)),"Code inconnu"))</f>
        <v/>
      </c>
      <c r="D469" s="23"/>
      <c r="E469" s="24"/>
      <c r="F469" s="21" t="str">
        <f aca="false">IF(OR($B469="",$D469=""),"",IFERROR(IF($D469="Entrée",INDEX(Produits!$E$5:$E$204,MATCH($B469,Produits!$A$5:$A$204,0)),INDEX(Produits!$F$5:$F$204,MATCH($B469,Produits!$A$5:$A$204,0))),""))</f>
        <v/>
      </c>
      <c r="G469" s="21" t="str">
        <f aca="false">IF(OR($F469="",$E469=""),"",$E469*$F469)</f>
        <v/>
      </c>
      <c r="H469" s="21" t="str">
        <f aca="false">IF(AND($D469="Sortie",$B469&lt;&gt;"",$E469&lt;&gt;""),IFERROR($E469*INDEX(Produits!$E$5:$E$204,MATCH($B469,Produits!$A$5:$A$204,0)),""),"")</f>
        <v/>
      </c>
      <c r="I469" s="23"/>
    </row>
    <row r="470" customFormat="false" ht="15" hidden="false" customHeight="false" outlineLevel="0" collapsed="false">
      <c r="A470" s="27"/>
      <c r="B470" s="23"/>
      <c r="C470" s="26" t="str">
        <f aca="false">IF($B470="","",IFERROR(INDEX(Produits!$B$5:$B$204,MATCH($B470,Produits!$A$5:$A$204,0)),"Code inconnu"))</f>
        <v/>
      </c>
      <c r="D470" s="23"/>
      <c r="E470" s="24"/>
      <c r="F470" s="21" t="str">
        <f aca="false">IF(OR($B470="",$D470=""),"",IFERROR(IF($D470="Entrée",INDEX(Produits!$E$5:$E$204,MATCH($B470,Produits!$A$5:$A$204,0)),INDEX(Produits!$F$5:$F$204,MATCH($B470,Produits!$A$5:$A$204,0))),""))</f>
        <v/>
      </c>
      <c r="G470" s="21" t="str">
        <f aca="false">IF(OR($F470="",$E470=""),"",$E470*$F470)</f>
        <v/>
      </c>
      <c r="H470" s="21" t="str">
        <f aca="false">IF(AND($D470="Sortie",$B470&lt;&gt;"",$E470&lt;&gt;""),IFERROR($E470*INDEX(Produits!$E$5:$E$204,MATCH($B470,Produits!$A$5:$A$204,0)),""),"")</f>
        <v/>
      </c>
      <c r="I470" s="23"/>
    </row>
    <row r="471" customFormat="false" ht="15" hidden="false" customHeight="false" outlineLevel="0" collapsed="false">
      <c r="A471" s="27"/>
      <c r="B471" s="23"/>
      <c r="C471" s="26" t="str">
        <f aca="false">IF($B471="","",IFERROR(INDEX(Produits!$B$5:$B$204,MATCH($B471,Produits!$A$5:$A$204,0)),"Code inconnu"))</f>
        <v/>
      </c>
      <c r="D471" s="23"/>
      <c r="E471" s="24"/>
      <c r="F471" s="21" t="str">
        <f aca="false">IF(OR($B471="",$D471=""),"",IFERROR(IF($D471="Entrée",INDEX(Produits!$E$5:$E$204,MATCH($B471,Produits!$A$5:$A$204,0)),INDEX(Produits!$F$5:$F$204,MATCH($B471,Produits!$A$5:$A$204,0))),""))</f>
        <v/>
      </c>
      <c r="G471" s="21" t="str">
        <f aca="false">IF(OR($F471="",$E471=""),"",$E471*$F471)</f>
        <v/>
      </c>
      <c r="H471" s="21" t="str">
        <f aca="false">IF(AND($D471="Sortie",$B471&lt;&gt;"",$E471&lt;&gt;""),IFERROR($E471*INDEX(Produits!$E$5:$E$204,MATCH($B471,Produits!$A$5:$A$204,0)),""),"")</f>
        <v/>
      </c>
      <c r="I471" s="23"/>
    </row>
    <row r="472" customFormat="false" ht="15" hidden="false" customHeight="false" outlineLevel="0" collapsed="false">
      <c r="A472" s="27"/>
      <c r="B472" s="23"/>
      <c r="C472" s="26" t="str">
        <f aca="false">IF($B472="","",IFERROR(INDEX(Produits!$B$5:$B$204,MATCH($B472,Produits!$A$5:$A$204,0)),"Code inconnu"))</f>
        <v/>
      </c>
      <c r="D472" s="23"/>
      <c r="E472" s="24"/>
      <c r="F472" s="21" t="str">
        <f aca="false">IF(OR($B472="",$D472=""),"",IFERROR(IF($D472="Entrée",INDEX(Produits!$E$5:$E$204,MATCH($B472,Produits!$A$5:$A$204,0)),INDEX(Produits!$F$5:$F$204,MATCH($B472,Produits!$A$5:$A$204,0))),""))</f>
        <v/>
      </c>
      <c r="G472" s="21" t="str">
        <f aca="false">IF(OR($F472="",$E472=""),"",$E472*$F472)</f>
        <v/>
      </c>
      <c r="H472" s="21" t="str">
        <f aca="false">IF(AND($D472="Sortie",$B472&lt;&gt;"",$E472&lt;&gt;""),IFERROR($E472*INDEX(Produits!$E$5:$E$204,MATCH($B472,Produits!$A$5:$A$204,0)),""),"")</f>
        <v/>
      </c>
      <c r="I472" s="23"/>
    </row>
    <row r="473" customFormat="false" ht="15" hidden="false" customHeight="false" outlineLevel="0" collapsed="false">
      <c r="A473" s="27"/>
      <c r="B473" s="23"/>
      <c r="C473" s="26" t="str">
        <f aca="false">IF($B473="","",IFERROR(INDEX(Produits!$B$5:$B$204,MATCH($B473,Produits!$A$5:$A$204,0)),"Code inconnu"))</f>
        <v/>
      </c>
      <c r="D473" s="23"/>
      <c r="E473" s="24"/>
      <c r="F473" s="21" t="str">
        <f aca="false">IF(OR($B473="",$D473=""),"",IFERROR(IF($D473="Entrée",INDEX(Produits!$E$5:$E$204,MATCH($B473,Produits!$A$5:$A$204,0)),INDEX(Produits!$F$5:$F$204,MATCH($B473,Produits!$A$5:$A$204,0))),""))</f>
        <v/>
      </c>
      <c r="G473" s="21" t="str">
        <f aca="false">IF(OR($F473="",$E473=""),"",$E473*$F473)</f>
        <v/>
      </c>
      <c r="H473" s="21" t="str">
        <f aca="false">IF(AND($D473="Sortie",$B473&lt;&gt;"",$E473&lt;&gt;""),IFERROR($E473*INDEX(Produits!$E$5:$E$204,MATCH($B473,Produits!$A$5:$A$204,0)),""),"")</f>
        <v/>
      </c>
      <c r="I473" s="23"/>
    </row>
    <row r="474" customFormat="false" ht="15" hidden="false" customHeight="false" outlineLevel="0" collapsed="false">
      <c r="A474" s="27"/>
      <c r="B474" s="23"/>
      <c r="C474" s="26" t="str">
        <f aca="false">IF($B474="","",IFERROR(INDEX(Produits!$B$5:$B$204,MATCH($B474,Produits!$A$5:$A$204,0)),"Code inconnu"))</f>
        <v/>
      </c>
      <c r="D474" s="23"/>
      <c r="E474" s="24"/>
      <c r="F474" s="21" t="str">
        <f aca="false">IF(OR($B474="",$D474=""),"",IFERROR(IF($D474="Entrée",INDEX(Produits!$E$5:$E$204,MATCH($B474,Produits!$A$5:$A$204,0)),INDEX(Produits!$F$5:$F$204,MATCH($B474,Produits!$A$5:$A$204,0))),""))</f>
        <v/>
      </c>
      <c r="G474" s="21" t="str">
        <f aca="false">IF(OR($F474="",$E474=""),"",$E474*$F474)</f>
        <v/>
      </c>
      <c r="H474" s="21" t="str">
        <f aca="false">IF(AND($D474="Sortie",$B474&lt;&gt;"",$E474&lt;&gt;""),IFERROR($E474*INDEX(Produits!$E$5:$E$204,MATCH($B474,Produits!$A$5:$A$204,0)),""),"")</f>
        <v/>
      </c>
      <c r="I474" s="23"/>
    </row>
    <row r="475" customFormat="false" ht="15" hidden="false" customHeight="false" outlineLevel="0" collapsed="false">
      <c r="A475" s="27"/>
      <c r="B475" s="23"/>
      <c r="C475" s="26" t="str">
        <f aca="false">IF($B475="","",IFERROR(INDEX(Produits!$B$5:$B$204,MATCH($B475,Produits!$A$5:$A$204,0)),"Code inconnu"))</f>
        <v/>
      </c>
      <c r="D475" s="23"/>
      <c r="E475" s="24"/>
      <c r="F475" s="21" t="str">
        <f aca="false">IF(OR($B475="",$D475=""),"",IFERROR(IF($D475="Entrée",INDEX(Produits!$E$5:$E$204,MATCH($B475,Produits!$A$5:$A$204,0)),INDEX(Produits!$F$5:$F$204,MATCH($B475,Produits!$A$5:$A$204,0))),""))</f>
        <v/>
      </c>
      <c r="G475" s="21" t="str">
        <f aca="false">IF(OR($F475="",$E475=""),"",$E475*$F475)</f>
        <v/>
      </c>
      <c r="H475" s="21" t="str">
        <f aca="false">IF(AND($D475="Sortie",$B475&lt;&gt;"",$E475&lt;&gt;""),IFERROR($E475*INDEX(Produits!$E$5:$E$204,MATCH($B475,Produits!$A$5:$A$204,0)),""),"")</f>
        <v/>
      </c>
      <c r="I475" s="23"/>
    </row>
    <row r="476" customFormat="false" ht="15" hidden="false" customHeight="false" outlineLevel="0" collapsed="false">
      <c r="A476" s="27"/>
      <c r="B476" s="23"/>
      <c r="C476" s="26" t="str">
        <f aca="false">IF($B476="","",IFERROR(INDEX(Produits!$B$5:$B$204,MATCH($B476,Produits!$A$5:$A$204,0)),"Code inconnu"))</f>
        <v/>
      </c>
      <c r="D476" s="23"/>
      <c r="E476" s="24"/>
      <c r="F476" s="21" t="str">
        <f aca="false">IF(OR($B476="",$D476=""),"",IFERROR(IF($D476="Entrée",INDEX(Produits!$E$5:$E$204,MATCH($B476,Produits!$A$5:$A$204,0)),INDEX(Produits!$F$5:$F$204,MATCH($B476,Produits!$A$5:$A$204,0))),""))</f>
        <v/>
      </c>
      <c r="G476" s="21" t="str">
        <f aca="false">IF(OR($F476="",$E476=""),"",$E476*$F476)</f>
        <v/>
      </c>
      <c r="H476" s="21" t="str">
        <f aca="false">IF(AND($D476="Sortie",$B476&lt;&gt;"",$E476&lt;&gt;""),IFERROR($E476*INDEX(Produits!$E$5:$E$204,MATCH($B476,Produits!$A$5:$A$204,0)),""),"")</f>
        <v/>
      </c>
      <c r="I476" s="23"/>
    </row>
    <row r="477" customFormat="false" ht="15" hidden="false" customHeight="false" outlineLevel="0" collapsed="false">
      <c r="A477" s="27"/>
      <c r="B477" s="23"/>
      <c r="C477" s="26" t="str">
        <f aca="false">IF($B477="","",IFERROR(INDEX(Produits!$B$5:$B$204,MATCH($B477,Produits!$A$5:$A$204,0)),"Code inconnu"))</f>
        <v/>
      </c>
      <c r="D477" s="23"/>
      <c r="E477" s="24"/>
      <c r="F477" s="21" t="str">
        <f aca="false">IF(OR($B477="",$D477=""),"",IFERROR(IF($D477="Entrée",INDEX(Produits!$E$5:$E$204,MATCH($B477,Produits!$A$5:$A$204,0)),INDEX(Produits!$F$5:$F$204,MATCH($B477,Produits!$A$5:$A$204,0))),""))</f>
        <v/>
      </c>
      <c r="G477" s="21" t="str">
        <f aca="false">IF(OR($F477="",$E477=""),"",$E477*$F477)</f>
        <v/>
      </c>
      <c r="H477" s="21" t="str">
        <f aca="false">IF(AND($D477="Sortie",$B477&lt;&gt;"",$E477&lt;&gt;""),IFERROR($E477*INDEX(Produits!$E$5:$E$204,MATCH($B477,Produits!$A$5:$A$204,0)),""),"")</f>
        <v/>
      </c>
      <c r="I477" s="23"/>
    </row>
    <row r="478" customFormat="false" ht="15" hidden="false" customHeight="false" outlineLevel="0" collapsed="false">
      <c r="A478" s="27"/>
      <c r="B478" s="23"/>
      <c r="C478" s="26" t="str">
        <f aca="false">IF($B478="","",IFERROR(INDEX(Produits!$B$5:$B$204,MATCH($B478,Produits!$A$5:$A$204,0)),"Code inconnu"))</f>
        <v/>
      </c>
      <c r="D478" s="23"/>
      <c r="E478" s="24"/>
      <c r="F478" s="21" t="str">
        <f aca="false">IF(OR($B478="",$D478=""),"",IFERROR(IF($D478="Entrée",INDEX(Produits!$E$5:$E$204,MATCH($B478,Produits!$A$5:$A$204,0)),INDEX(Produits!$F$5:$F$204,MATCH($B478,Produits!$A$5:$A$204,0))),""))</f>
        <v/>
      </c>
      <c r="G478" s="21" t="str">
        <f aca="false">IF(OR($F478="",$E478=""),"",$E478*$F478)</f>
        <v/>
      </c>
      <c r="H478" s="21" t="str">
        <f aca="false">IF(AND($D478="Sortie",$B478&lt;&gt;"",$E478&lt;&gt;""),IFERROR($E478*INDEX(Produits!$E$5:$E$204,MATCH($B478,Produits!$A$5:$A$204,0)),""),"")</f>
        <v/>
      </c>
      <c r="I478" s="23"/>
    </row>
    <row r="479" customFormat="false" ht="15" hidden="false" customHeight="false" outlineLevel="0" collapsed="false">
      <c r="A479" s="27"/>
      <c r="B479" s="23"/>
      <c r="C479" s="26" t="str">
        <f aca="false">IF($B479="","",IFERROR(INDEX(Produits!$B$5:$B$204,MATCH($B479,Produits!$A$5:$A$204,0)),"Code inconnu"))</f>
        <v/>
      </c>
      <c r="D479" s="23"/>
      <c r="E479" s="24"/>
      <c r="F479" s="21" t="str">
        <f aca="false">IF(OR($B479="",$D479=""),"",IFERROR(IF($D479="Entrée",INDEX(Produits!$E$5:$E$204,MATCH($B479,Produits!$A$5:$A$204,0)),INDEX(Produits!$F$5:$F$204,MATCH($B479,Produits!$A$5:$A$204,0))),""))</f>
        <v/>
      </c>
      <c r="G479" s="21" t="str">
        <f aca="false">IF(OR($F479="",$E479=""),"",$E479*$F479)</f>
        <v/>
      </c>
      <c r="H479" s="21" t="str">
        <f aca="false">IF(AND($D479="Sortie",$B479&lt;&gt;"",$E479&lt;&gt;""),IFERROR($E479*INDEX(Produits!$E$5:$E$204,MATCH($B479,Produits!$A$5:$A$204,0)),""),"")</f>
        <v/>
      </c>
      <c r="I479" s="23"/>
    </row>
    <row r="480" customFormat="false" ht="15" hidden="false" customHeight="false" outlineLevel="0" collapsed="false">
      <c r="A480" s="27"/>
      <c r="B480" s="23"/>
      <c r="C480" s="26" t="str">
        <f aca="false">IF($B480="","",IFERROR(INDEX(Produits!$B$5:$B$204,MATCH($B480,Produits!$A$5:$A$204,0)),"Code inconnu"))</f>
        <v/>
      </c>
      <c r="D480" s="23"/>
      <c r="E480" s="24"/>
      <c r="F480" s="21" t="str">
        <f aca="false">IF(OR($B480="",$D480=""),"",IFERROR(IF($D480="Entrée",INDEX(Produits!$E$5:$E$204,MATCH($B480,Produits!$A$5:$A$204,0)),INDEX(Produits!$F$5:$F$204,MATCH($B480,Produits!$A$5:$A$204,0))),""))</f>
        <v/>
      </c>
      <c r="G480" s="21" t="str">
        <f aca="false">IF(OR($F480="",$E480=""),"",$E480*$F480)</f>
        <v/>
      </c>
      <c r="H480" s="21" t="str">
        <f aca="false">IF(AND($D480="Sortie",$B480&lt;&gt;"",$E480&lt;&gt;""),IFERROR($E480*INDEX(Produits!$E$5:$E$204,MATCH($B480,Produits!$A$5:$A$204,0)),""),"")</f>
        <v/>
      </c>
      <c r="I480" s="23"/>
    </row>
    <row r="481" customFormat="false" ht="15" hidden="false" customHeight="false" outlineLevel="0" collapsed="false">
      <c r="A481" s="27"/>
      <c r="B481" s="23"/>
      <c r="C481" s="26" t="str">
        <f aca="false">IF($B481="","",IFERROR(INDEX(Produits!$B$5:$B$204,MATCH($B481,Produits!$A$5:$A$204,0)),"Code inconnu"))</f>
        <v/>
      </c>
      <c r="D481" s="23"/>
      <c r="E481" s="24"/>
      <c r="F481" s="21" t="str">
        <f aca="false">IF(OR($B481="",$D481=""),"",IFERROR(IF($D481="Entrée",INDEX(Produits!$E$5:$E$204,MATCH($B481,Produits!$A$5:$A$204,0)),INDEX(Produits!$F$5:$F$204,MATCH($B481,Produits!$A$5:$A$204,0))),""))</f>
        <v/>
      </c>
      <c r="G481" s="21" t="str">
        <f aca="false">IF(OR($F481="",$E481=""),"",$E481*$F481)</f>
        <v/>
      </c>
      <c r="H481" s="21" t="str">
        <f aca="false">IF(AND($D481="Sortie",$B481&lt;&gt;"",$E481&lt;&gt;""),IFERROR($E481*INDEX(Produits!$E$5:$E$204,MATCH($B481,Produits!$A$5:$A$204,0)),""),"")</f>
        <v/>
      </c>
      <c r="I481" s="23"/>
    </row>
    <row r="482" customFormat="false" ht="15" hidden="false" customHeight="false" outlineLevel="0" collapsed="false">
      <c r="A482" s="27"/>
      <c r="B482" s="23"/>
      <c r="C482" s="26" t="str">
        <f aca="false">IF($B482="","",IFERROR(INDEX(Produits!$B$5:$B$204,MATCH($B482,Produits!$A$5:$A$204,0)),"Code inconnu"))</f>
        <v/>
      </c>
      <c r="D482" s="23"/>
      <c r="E482" s="24"/>
      <c r="F482" s="21" t="str">
        <f aca="false">IF(OR($B482="",$D482=""),"",IFERROR(IF($D482="Entrée",INDEX(Produits!$E$5:$E$204,MATCH($B482,Produits!$A$5:$A$204,0)),INDEX(Produits!$F$5:$F$204,MATCH($B482,Produits!$A$5:$A$204,0))),""))</f>
        <v/>
      </c>
      <c r="G482" s="21" t="str">
        <f aca="false">IF(OR($F482="",$E482=""),"",$E482*$F482)</f>
        <v/>
      </c>
      <c r="H482" s="21" t="str">
        <f aca="false">IF(AND($D482="Sortie",$B482&lt;&gt;"",$E482&lt;&gt;""),IFERROR($E482*INDEX(Produits!$E$5:$E$204,MATCH($B482,Produits!$A$5:$A$204,0)),""),"")</f>
        <v/>
      </c>
      <c r="I482" s="23"/>
    </row>
    <row r="483" customFormat="false" ht="15" hidden="false" customHeight="false" outlineLevel="0" collapsed="false">
      <c r="A483" s="27"/>
      <c r="B483" s="23"/>
      <c r="C483" s="26" t="str">
        <f aca="false">IF($B483="","",IFERROR(INDEX(Produits!$B$5:$B$204,MATCH($B483,Produits!$A$5:$A$204,0)),"Code inconnu"))</f>
        <v/>
      </c>
      <c r="D483" s="23"/>
      <c r="E483" s="24"/>
      <c r="F483" s="21" t="str">
        <f aca="false">IF(OR($B483="",$D483=""),"",IFERROR(IF($D483="Entrée",INDEX(Produits!$E$5:$E$204,MATCH($B483,Produits!$A$5:$A$204,0)),INDEX(Produits!$F$5:$F$204,MATCH($B483,Produits!$A$5:$A$204,0))),""))</f>
        <v/>
      </c>
      <c r="G483" s="21" t="str">
        <f aca="false">IF(OR($F483="",$E483=""),"",$E483*$F483)</f>
        <v/>
      </c>
      <c r="H483" s="21" t="str">
        <f aca="false">IF(AND($D483="Sortie",$B483&lt;&gt;"",$E483&lt;&gt;""),IFERROR($E483*INDEX(Produits!$E$5:$E$204,MATCH($B483,Produits!$A$5:$A$204,0)),""),"")</f>
        <v/>
      </c>
      <c r="I483" s="23"/>
    </row>
    <row r="484" customFormat="false" ht="15" hidden="false" customHeight="false" outlineLevel="0" collapsed="false">
      <c r="A484" s="27"/>
      <c r="B484" s="23"/>
      <c r="C484" s="26" t="str">
        <f aca="false">IF($B484="","",IFERROR(INDEX(Produits!$B$5:$B$204,MATCH($B484,Produits!$A$5:$A$204,0)),"Code inconnu"))</f>
        <v/>
      </c>
      <c r="D484" s="23"/>
      <c r="E484" s="24"/>
      <c r="F484" s="21" t="str">
        <f aca="false">IF(OR($B484="",$D484=""),"",IFERROR(IF($D484="Entrée",INDEX(Produits!$E$5:$E$204,MATCH($B484,Produits!$A$5:$A$204,0)),INDEX(Produits!$F$5:$F$204,MATCH($B484,Produits!$A$5:$A$204,0))),""))</f>
        <v/>
      </c>
      <c r="G484" s="21" t="str">
        <f aca="false">IF(OR($F484="",$E484=""),"",$E484*$F484)</f>
        <v/>
      </c>
      <c r="H484" s="21" t="str">
        <f aca="false">IF(AND($D484="Sortie",$B484&lt;&gt;"",$E484&lt;&gt;""),IFERROR($E484*INDEX(Produits!$E$5:$E$204,MATCH($B484,Produits!$A$5:$A$204,0)),""),"")</f>
        <v/>
      </c>
      <c r="I484" s="23"/>
    </row>
    <row r="485" customFormat="false" ht="15" hidden="false" customHeight="false" outlineLevel="0" collapsed="false">
      <c r="A485" s="27"/>
      <c r="B485" s="23"/>
      <c r="C485" s="26" t="str">
        <f aca="false">IF($B485="","",IFERROR(INDEX(Produits!$B$5:$B$204,MATCH($B485,Produits!$A$5:$A$204,0)),"Code inconnu"))</f>
        <v/>
      </c>
      <c r="D485" s="23"/>
      <c r="E485" s="24"/>
      <c r="F485" s="21" t="str">
        <f aca="false">IF(OR($B485="",$D485=""),"",IFERROR(IF($D485="Entrée",INDEX(Produits!$E$5:$E$204,MATCH($B485,Produits!$A$5:$A$204,0)),INDEX(Produits!$F$5:$F$204,MATCH($B485,Produits!$A$5:$A$204,0))),""))</f>
        <v/>
      </c>
      <c r="G485" s="21" t="str">
        <f aca="false">IF(OR($F485="",$E485=""),"",$E485*$F485)</f>
        <v/>
      </c>
      <c r="H485" s="21" t="str">
        <f aca="false">IF(AND($D485="Sortie",$B485&lt;&gt;"",$E485&lt;&gt;""),IFERROR($E485*INDEX(Produits!$E$5:$E$204,MATCH($B485,Produits!$A$5:$A$204,0)),""),"")</f>
        <v/>
      </c>
      <c r="I485" s="23"/>
    </row>
    <row r="486" customFormat="false" ht="15" hidden="false" customHeight="false" outlineLevel="0" collapsed="false">
      <c r="A486" s="27"/>
      <c r="B486" s="23"/>
      <c r="C486" s="26" t="str">
        <f aca="false">IF($B486="","",IFERROR(INDEX(Produits!$B$5:$B$204,MATCH($B486,Produits!$A$5:$A$204,0)),"Code inconnu"))</f>
        <v/>
      </c>
      <c r="D486" s="23"/>
      <c r="E486" s="24"/>
      <c r="F486" s="21" t="str">
        <f aca="false">IF(OR($B486="",$D486=""),"",IFERROR(IF($D486="Entrée",INDEX(Produits!$E$5:$E$204,MATCH($B486,Produits!$A$5:$A$204,0)),INDEX(Produits!$F$5:$F$204,MATCH($B486,Produits!$A$5:$A$204,0))),""))</f>
        <v/>
      </c>
      <c r="G486" s="21" t="str">
        <f aca="false">IF(OR($F486="",$E486=""),"",$E486*$F486)</f>
        <v/>
      </c>
      <c r="H486" s="21" t="str">
        <f aca="false">IF(AND($D486="Sortie",$B486&lt;&gt;"",$E486&lt;&gt;""),IFERROR($E486*INDEX(Produits!$E$5:$E$204,MATCH($B486,Produits!$A$5:$A$204,0)),""),"")</f>
        <v/>
      </c>
      <c r="I486" s="23"/>
    </row>
    <row r="487" customFormat="false" ht="15" hidden="false" customHeight="false" outlineLevel="0" collapsed="false">
      <c r="A487" s="27"/>
      <c r="B487" s="23"/>
      <c r="C487" s="26" t="str">
        <f aca="false">IF($B487="","",IFERROR(INDEX(Produits!$B$5:$B$204,MATCH($B487,Produits!$A$5:$A$204,0)),"Code inconnu"))</f>
        <v/>
      </c>
      <c r="D487" s="23"/>
      <c r="E487" s="24"/>
      <c r="F487" s="21" t="str">
        <f aca="false">IF(OR($B487="",$D487=""),"",IFERROR(IF($D487="Entrée",INDEX(Produits!$E$5:$E$204,MATCH($B487,Produits!$A$5:$A$204,0)),INDEX(Produits!$F$5:$F$204,MATCH($B487,Produits!$A$5:$A$204,0))),""))</f>
        <v/>
      </c>
      <c r="G487" s="21" t="str">
        <f aca="false">IF(OR($F487="",$E487=""),"",$E487*$F487)</f>
        <v/>
      </c>
      <c r="H487" s="21" t="str">
        <f aca="false">IF(AND($D487="Sortie",$B487&lt;&gt;"",$E487&lt;&gt;""),IFERROR($E487*INDEX(Produits!$E$5:$E$204,MATCH($B487,Produits!$A$5:$A$204,0)),""),"")</f>
        <v/>
      </c>
      <c r="I487" s="23"/>
    </row>
    <row r="488" customFormat="false" ht="15" hidden="false" customHeight="false" outlineLevel="0" collapsed="false">
      <c r="A488" s="27"/>
      <c r="B488" s="23"/>
      <c r="C488" s="26" t="str">
        <f aca="false">IF($B488="","",IFERROR(INDEX(Produits!$B$5:$B$204,MATCH($B488,Produits!$A$5:$A$204,0)),"Code inconnu"))</f>
        <v/>
      </c>
      <c r="D488" s="23"/>
      <c r="E488" s="24"/>
      <c r="F488" s="21" t="str">
        <f aca="false">IF(OR($B488="",$D488=""),"",IFERROR(IF($D488="Entrée",INDEX(Produits!$E$5:$E$204,MATCH($B488,Produits!$A$5:$A$204,0)),INDEX(Produits!$F$5:$F$204,MATCH($B488,Produits!$A$5:$A$204,0))),""))</f>
        <v/>
      </c>
      <c r="G488" s="21" t="str">
        <f aca="false">IF(OR($F488="",$E488=""),"",$E488*$F488)</f>
        <v/>
      </c>
      <c r="H488" s="21" t="str">
        <f aca="false">IF(AND($D488="Sortie",$B488&lt;&gt;"",$E488&lt;&gt;""),IFERROR($E488*INDEX(Produits!$E$5:$E$204,MATCH($B488,Produits!$A$5:$A$204,0)),""),"")</f>
        <v/>
      </c>
      <c r="I488" s="23"/>
    </row>
    <row r="489" customFormat="false" ht="15" hidden="false" customHeight="false" outlineLevel="0" collapsed="false">
      <c r="A489" s="27"/>
      <c r="B489" s="23"/>
      <c r="C489" s="26" t="str">
        <f aca="false">IF($B489="","",IFERROR(INDEX(Produits!$B$5:$B$204,MATCH($B489,Produits!$A$5:$A$204,0)),"Code inconnu"))</f>
        <v/>
      </c>
      <c r="D489" s="23"/>
      <c r="E489" s="24"/>
      <c r="F489" s="21" t="str">
        <f aca="false">IF(OR($B489="",$D489=""),"",IFERROR(IF($D489="Entrée",INDEX(Produits!$E$5:$E$204,MATCH($B489,Produits!$A$5:$A$204,0)),INDEX(Produits!$F$5:$F$204,MATCH($B489,Produits!$A$5:$A$204,0))),""))</f>
        <v/>
      </c>
      <c r="G489" s="21" t="str">
        <f aca="false">IF(OR($F489="",$E489=""),"",$E489*$F489)</f>
        <v/>
      </c>
      <c r="H489" s="21" t="str">
        <f aca="false">IF(AND($D489="Sortie",$B489&lt;&gt;"",$E489&lt;&gt;""),IFERROR($E489*INDEX(Produits!$E$5:$E$204,MATCH($B489,Produits!$A$5:$A$204,0)),""),"")</f>
        <v/>
      </c>
      <c r="I489" s="23"/>
    </row>
    <row r="490" customFormat="false" ht="15" hidden="false" customHeight="false" outlineLevel="0" collapsed="false">
      <c r="A490" s="27"/>
      <c r="B490" s="23"/>
      <c r="C490" s="26" t="str">
        <f aca="false">IF($B490="","",IFERROR(INDEX(Produits!$B$5:$B$204,MATCH($B490,Produits!$A$5:$A$204,0)),"Code inconnu"))</f>
        <v/>
      </c>
      <c r="D490" s="23"/>
      <c r="E490" s="24"/>
      <c r="F490" s="21" t="str">
        <f aca="false">IF(OR($B490="",$D490=""),"",IFERROR(IF($D490="Entrée",INDEX(Produits!$E$5:$E$204,MATCH($B490,Produits!$A$5:$A$204,0)),INDEX(Produits!$F$5:$F$204,MATCH($B490,Produits!$A$5:$A$204,0))),""))</f>
        <v/>
      </c>
      <c r="G490" s="21" t="str">
        <f aca="false">IF(OR($F490="",$E490=""),"",$E490*$F490)</f>
        <v/>
      </c>
      <c r="H490" s="21" t="str">
        <f aca="false">IF(AND($D490="Sortie",$B490&lt;&gt;"",$E490&lt;&gt;""),IFERROR($E490*INDEX(Produits!$E$5:$E$204,MATCH($B490,Produits!$A$5:$A$204,0)),""),"")</f>
        <v/>
      </c>
      <c r="I490" s="23"/>
    </row>
    <row r="491" customFormat="false" ht="15" hidden="false" customHeight="false" outlineLevel="0" collapsed="false">
      <c r="A491" s="27"/>
      <c r="B491" s="23"/>
      <c r="C491" s="26" t="str">
        <f aca="false">IF($B491="","",IFERROR(INDEX(Produits!$B$5:$B$204,MATCH($B491,Produits!$A$5:$A$204,0)),"Code inconnu"))</f>
        <v/>
      </c>
      <c r="D491" s="23"/>
      <c r="E491" s="24"/>
      <c r="F491" s="21" t="str">
        <f aca="false">IF(OR($B491="",$D491=""),"",IFERROR(IF($D491="Entrée",INDEX(Produits!$E$5:$E$204,MATCH($B491,Produits!$A$5:$A$204,0)),INDEX(Produits!$F$5:$F$204,MATCH($B491,Produits!$A$5:$A$204,0))),""))</f>
        <v/>
      </c>
      <c r="G491" s="21" t="str">
        <f aca="false">IF(OR($F491="",$E491=""),"",$E491*$F491)</f>
        <v/>
      </c>
      <c r="H491" s="21" t="str">
        <f aca="false">IF(AND($D491="Sortie",$B491&lt;&gt;"",$E491&lt;&gt;""),IFERROR($E491*INDEX(Produits!$E$5:$E$204,MATCH($B491,Produits!$A$5:$A$204,0)),""),"")</f>
        <v/>
      </c>
      <c r="I491" s="23"/>
    </row>
    <row r="492" customFormat="false" ht="15" hidden="false" customHeight="false" outlineLevel="0" collapsed="false">
      <c r="A492" s="27"/>
      <c r="B492" s="23"/>
      <c r="C492" s="26" t="str">
        <f aca="false">IF($B492="","",IFERROR(INDEX(Produits!$B$5:$B$204,MATCH($B492,Produits!$A$5:$A$204,0)),"Code inconnu"))</f>
        <v/>
      </c>
      <c r="D492" s="23"/>
      <c r="E492" s="24"/>
      <c r="F492" s="21" t="str">
        <f aca="false">IF(OR($B492="",$D492=""),"",IFERROR(IF($D492="Entrée",INDEX(Produits!$E$5:$E$204,MATCH($B492,Produits!$A$5:$A$204,0)),INDEX(Produits!$F$5:$F$204,MATCH($B492,Produits!$A$5:$A$204,0))),""))</f>
        <v/>
      </c>
      <c r="G492" s="21" t="str">
        <f aca="false">IF(OR($F492="",$E492=""),"",$E492*$F492)</f>
        <v/>
      </c>
      <c r="H492" s="21" t="str">
        <f aca="false">IF(AND($D492="Sortie",$B492&lt;&gt;"",$E492&lt;&gt;""),IFERROR($E492*INDEX(Produits!$E$5:$E$204,MATCH($B492,Produits!$A$5:$A$204,0)),""),"")</f>
        <v/>
      </c>
      <c r="I492" s="23"/>
    </row>
    <row r="493" customFormat="false" ht="15" hidden="false" customHeight="false" outlineLevel="0" collapsed="false">
      <c r="A493" s="27"/>
      <c r="B493" s="23"/>
      <c r="C493" s="26" t="str">
        <f aca="false">IF($B493="","",IFERROR(INDEX(Produits!$B$5:$B$204,MATCH($B493,Produits!$A$5:$A$204,0)),"Code inconnu"))</f>
        <v/>
      </c>
      <c r="D493" s="23"/>
      <c r="E493" s="24"/>
      <c r="F493" s="21" t="str">
        <f aca="false">IF(OR($B493="",$D493=""),"",IFERROR(IF($D493="Entrée",INDEX(Produits!$E$5:$E$204,MATCH($B493,Produits!$A$5:$A$204,0)),INDEX(Produits!$F$5:$F$204,MATCH($B493,Produits!$A$5:$A$204,0))),""))</f>
        <v/>
      </c>
      <c r="G493" s="21" t="str">
        <f aca="false">IF(OR($F493="",$E493=""),"",$E493*$F493)</f>
        <v/>
      </c>
      <c r="H493" s="21" t="str">
        <f aca="false">IF(AND($D493="Sortie",$B493&lt;&gt;"",$E493&lt;&gt;""),IFERROR($E493*INDEX(Produits!$E$5:$E$204,MATCH($B493,Produits!$A$5:$A$204,0)),""),"")</f>
        <v/>
      </c>
      <c r="I493" s="23"/>
    </row>
    <row r="494" customFormat="false" ht="15" hidden="false" customHeight="false" outlineLevel="0" collapsed="false">
      <c r="A494" s="27"/>
      <c r="B494" s="23"/>
      <c r="C494" s="26" t="str">
        <f aca="false">IF($B494="","",IFERROR(INDEX(Produits!$B$5:$B$204,MATCH($B494,Produits!$A$5:$A$204,0)),"Code inconnu"))</f>
        <v/>
      </c>
      <c r="D494" s="23"/>
      <c r="E494" s="24"/>
      <c r="F494" s="21" t="str">
        <f aca="false">IF(OR($B494="",$D494=""),"",IFERROR(IF($D494="Entrée",INDEX(Produits!$E$5:$E$204,MATCH($B494,Produits!$A$5:$A$204,0)),INDEX(Produits!$F$5:$F$204,MATCH($B494,Produits!$A$5:$A$204,0))),""))</f>
        <v/>
      </c>
      <c r="G494" s="21" t="str">
        <f aca="false">IF(OR($F494="",$E494=""),"",$E494*$F494)</f>
        <v/>
      </c>
      <c r="H494" s="21" t="str">
        <f aca="false">IF(AND($D494="Sortie",$B494&lt;&gt;"",$E494&lt;&gt;""),IFERROR($E494*INDEX(Produits!$E$5:$E$204,MATCH($B494,Produits!$A$5:$A$204,0)),""),"")</f>
        <v/>
      </c>
      <c r="I494" s="23"/>
    </row>
    <row r="495" customFormat="false" ht="15" hidden="false" customHeight="false" outlineLevel="0" collapsed="false">
      <c r="A495" s="27"/>
      <c r="B495" s="23"/>
      <c r="C495" s="26" t="str">
        <f aca="false">IF($B495="","",IFERROR(INDEX(Produits!$B$5:$B$204,MATCH($B495,Produits!$A$5:$A$204,0)),"Code inconnu"))</f>
        <v/>
      </c>
      <c r="D495" s="23"/>
      <c r="E495" s="24"/>
      <c r="F495" s="21" t="str">
        <f aca="false">IF(OR($B495="",$D495=""),"",IFERROR(IF($D495="Entrée",INDEX(Produits!$E$5:$E$204,MATCH($B495,Produits!$A$5:$A$204,0)),INDEX(Produits!$F$5:$F$204,MATCH($B495,Produits!$A$5:$A$204,0))),""))</f>
        <v/>
      </c>
      <c r="G495" s="21" t="str">
        <f aca="false">IF(OR($F495="",$E495=""),"",$E495*$F495)</f>
        <v/>
      </c>
      <c r="H495" s="21" t="str">
        <f aca="false">IF(AND($D495="Sortie",$B495&lt;&gt;"",$E495&lt;&gt;""),IFERROR($E495*INDEX(Produits!$E$5:$E$204,MATCH($B495,Produits!$A$5:$A$204,0)),""),"")</f>
        <v/>
      </c>
      <c r="I495" s="23"/>
    </row>
    <row r="496" customFormat="false" ht="15" hidden="false" customHeight="false" outlineLevel="0" collapsed="false">
      <c r="A496" s="27"/>
      <c r="B496" s="23"/>
      <c r="C496" s="26" t="str">
        <f aca="false">IF($B496="","",IFERROR(INDEX(Produits!$B$5:$B$204,MATCH($B496,Produits!$A$5:$A$204,0)),"Code inconnu"))</f>
        <v/>
      </c>
      <c r="D496" s="23"/>
      <c r="E496" s="24"/>
      <c r="F496" s="21" t="str">
        <f aca="false">IF(OR($B496="",$D496=""),"",IFERROR(IF($D496="Entrée",INDEX(Produits!$E$5:$E$204,MATCH($B496,Produits!$A$5:$A$204,0)),INDEX(Produits!$F$5:$F$204,MATCH($B496,Produits!$A$5:$A$204,0))),""))</f>
        <v/>
      </c>
      <c r="G496" s="21" t="str">
        <f aca="false">IF(OR($F496="",$E496=""),"",$E496*$F496)</f>
        <v/>
      </c>
      <c r="H496" s="21" t="str">
        <f aca="false">IF(AND($D496="Sortie",$B496&lt;&gt;"",$E496&lt;&gt;""),IFERROR($E496*INDEX(Produits!$E$5:$E$204,MATCH($B496,Produits!$A$5:$A$204,0)),""),"")</f>
        <v/>
      </c>
      <c r="I496" s="23"/>
    </row>
    <row r="497" customFormat="false" ht="15" hidden="false" customHeight="false" outlineLevel="0" collapsed="false">
      <c r="A497" s="27"/>
      <c r="B497" s="23"/>
      <c r="C497" s="26" t="str">
        <f aca="false">IF($B497="","",IFERROR(INDEX(Produits!$B$5:$B$204,MATCH($B497,Produits!$A$5:$A$204,0)),"Code inconnu"))</f>
        <v/>
      </c>
      <c r="D497" s="23"/>
      <c r="E497" s="24"/>
      <c r="F497" s="21" t="str">
        <f aca="false">IF(OR($B497="",$D497=""),"",IFERROR(IF($D497="Entrée",INDEX(Produits!$E$5:$E$204,MATCH($B497,Produits!$A$5:$A$204,0)),INDEX(Produits!$F$5:$F$204,MATCH($B497,Produits!$A$5:$A$204,0))),""))</f>
        <v/>
      </c>
      <c r="G497" s="21" t="str">
        <f aca="false">IF(OR($F497="",$E497=""),"",$E497*$F497)</f>
        <v/>
      </c>
      <c r="H497" s="21" t="str">
        <f aca="false">IF(AND($D497="Sortie",$B497&lt;&gt;"",$E497&lt;&gt;""),IFERROR($E497*INDEX(Produits!$E$5:$E$204,MATCH($B497,Produits!$A$5:$A$204,0)),""),"")</f>
        <v/>
      </c>
      <c r="I497" s="23"/>
    </row>
    <row r="498" customFormat="false" ht="15" hidden="false" customHeight="false" outlineLevel="0" collapsed="false">
      <c r="A498" s="27"/>
      <c r="B498" s="23"/>
      <c r="C498" s="26" t="str">
        <f aca="false">IF($B498="","",IFERROR(INDEX(Produits!$B$5:$B$204,MATCH($B498,Produits!$A$5:$A$204,0)),"Code inconnu"))</f>
        <v/>
      </c>
      <c r="D498" s="23"/>
      <c r="E498" s="24"/>
      <c r="F498" s="21" t="str">
        <f aca="false">IF(OR($B498="",$D498=""),"",IFERROR(IF($D498="Entrée",INDEX(Produits!$E$5:$E$204,MATCH($B498,Produits!$A$5:$A$204,0)),INDEX(Produits!$F$5:$F$204,MATCH($B498,Produits!$A$5:$A$204,0))),""))</f>
        <v/>
      </c>
      <c r="G498" s="21" t="str">
        <f aca="false">IF(OR($F498="",$E498=""),"",$E498*$F498)</f>
        <v/>
      </c>
      <c r="H498" s="21" t="str">
        <f aca="false">IF(AND($D498="Sortie",$B498&lt;&gt;"",$E498&lt;&gt;""),IFERROR($E498*INDEX(Produits!$E$5:$E$204,MATCH($B498,Produits!$A$5:$A$204,0)),""),"")</f>
        <v/>
      </c>
      <c r="I498" s="23"/>
    </row>
    <row r="499" customFormat="false" ht="15" hidden="false" customHeight="false" outlineLevel="0" collapsed="false">
      <c r="A499" s="27"/>
      <c r="B499" s="23"/>
      <c r="C499" s="26" t="str">
        <f aca="false">IF($B499="","",IFERROR(INDEX(Produits!$B$5:$B$204,MATCH($B499,Produits!$A$5:$A$204,0)),"Code inconnu"))</f>
        <v/>
      </c>
      <c r="D499" s="23"/>
      <c r="E499" s="24"/>
      <c r="F499" s="21" t="str">
        <f aca="false">IF(OR($B499="",$D499=""),"",IFERROR(IF($D499="Entrée",INDEX(Produits!$E$5:$E$204,MATCH($B499,Produits!$A$5:$A$204,0)),INDEX(Produits!$F$5:$F$204,MATCH($B499,Produits!$A$5:$A$204,0))),""))</f>
        <v/>
      </c>
      <c r="G499" s="21" t="str">
        <f aca="false">IF(OR($F499="",$E499=""),"",$E499*$F499)</f>
        <v/>
      </c>
      <c r="H499" s="21" t="str">
        <f aca="false">IF(AND($D499="Sortie",$B499&lt;&gt;"",$E499&lt;&gt;""),IFERROR($E499*INDEX(Produits!$E$5:$E$204,MATCH($B499,Produits!$A$5:$A$204,0)),""),"")</f>
        <v/>
      </c>
      <c r="I499" s="23"/>
    </row>
    <row r="500" customFormat="false" ht="15" hidden="false" customHeight="false" outlineLevel="0" collapsed="false">
      <c r="A500" s="27"/>
      <c r="B500" s="23"/>
      <c r="C500" s="26" t="str">
        <f aca="false">IF($B500="","",IFERROR(INDEX(Produits!$B$5:$B$204,MATCH($B500,Produits!$A$5:$A$204,0)),"Code inconnu"))</f>
        <v/>
      </c>
      <c r="D500" s="23"/>
      <c r="E500" s="24"/>
      <c r="F500" s="21" t="str">
        <f aca="false">IF(OR($B500="",$D500=""),"",IFERROR(IF($D500="Entrée",INDEX(Produits!$E$5:$E$204,MATCH($B500,Produits!$A$5:$A$204,0)),INDEX(Produits!$F$5:$F$204,MATCH($B500,Produits!$A$5:$A$204,0))),""))</f>
        <v/>
      </c>
      <c r="G500" s="21" t="str">
        <f aca="false">IF(OR($F500="",$E500=""),"",$E500*$F500)</f>
        <v/>
      </c>
      <c r="H500" s="21" t="str">
        <f aca="false">IF(AND($D500="Sortie",$B500&lt;&gt;"",$E500&lt;&gt;""),IFERROR($E500*INDEX(Produits!$E$5:$E$204,MATCH($B500,Produits!$A$5:$A$204,0)),""),"")</f>
        <v/>
      </c>
      <c r="I500" s="23"/>
    </row>
    <row r="501" customFormat="false" ht="15" hidden="false" customHeight="false" outlineLevel="0" collapsed="false">
      <c r="A501" s="27"/>
      <c r="B501" s="23"/>
      <c r="C501" s="26" t="str">
        <f aca="false">IF($B501="","",IFERROR(INDEX(Produits!$B$5:$B$204,MATCH($B501,Produits!$A$5:$A$204,0)),"Code inconnu"))</f>
        <v/>
      </c>
      <c r="D501" s="23"/>
      <c r="E501" s="24"/>
      <c r="F501" s="21" t="str">
        <f aca="false">IF(OR($B501="",$D501=""),"",IFERROR(IF($D501="Entrée",INDEX(Produits!$E$5:$E$204,MATCH($B501,Produits!$A$5:$A$204,0)),INDEX(Produits!$F$5:$F$204,MATCH($B501,Produits!$A$5:$A$204,0))),""))</f>
        <v/>
      </c>
      <c r="G501" s="21" t="str">
        <f aca="false">IF(OR($F501="",$E501=""),"",$E501*$F501)</f>
        <v/>
      </c>
      <c r="H501" s="21" t="str">
        <f aca="false">IF(AND($D501="Sortie",$B501&lt;&gt;"",$E501&lt;&gt;""),IFERROR($E501*INDEX(Produits!$E$5:$E$204,MATCH($B501,Produits!$A$5:$A$204,0)),""),"")</f>
        <v/>
      </c>
      <c r="I501" s="23"/>
    </row>
    <row r="502" customFormat="false" ht="15" hidden="false" customHeight="false" outlineLevel="0" collapsed="false">
      <c r="A502" s="27"/>
      <c r="B502" s="23"/>
      <c r="C502" s="26" t="str">
        <f aca="false">IF($B502="","",IFERROR(INDEX(Produits!$B$5:$B$204,MATCH($B502,Produits!$A$5:$A$204,0)),"Code inconnu"))</f>
        <v/>
      </c>
      <c r="D502" s="23"/>
      <c r="E502" s="24"/>
      <c r="F502" s="21" t="str">
        <f aca="false">IF(OR($B502="",$D502=""),"",IFERROR(IF($D502="Entrée",INDEX(Produits!$E$5:$E$204,MATCH($B502,Produits!$A$5:$A$204,0)),INDEX(Produits!$F$5:$F$204,MATCH($B502,Produits!$A$5:$A$204,0))),""))</f>
        <v/>
      </c>
      <c r="G502" s="21" t="str">
        <f aca="false">IF(OR($F502="",$E502=""),"",$E502*$F502)</f>
        <v/>
      </c>
      <c r="H502" s="21" t="str">
        <f aca="false">IF(AND($D502="Sortie",$B502&lt;&gt;"",$E502&lt;&gt;""),IFERROR($E502*INDEX(Produits!$E$5:$E$204,MATCH($B502,Produits!$A$5:$A$204,0)),""),"")</f>
        <v/>
      </c>
      <c r="I502" s="23"/>
    </row>
    <row r="503" customFormat="false" ht="15" hidden="false" customHeight="false" outlineLevel="0" collapsed="false">
      <c r="A503" s="27"/>
      <c r="B503" s="23"/>
      <c r="C503" s="26" t="str">
        <f aca="false">IF($B503="","",IFERROR(INDEX(Produits!$B$5:$B$204,MATCH($B503,Produits!$A$5:$A$204,0)),"Code inconnu"))</f>
        <v/>
      </c>
      <c r="D503" s="23"/>
      <c r="E503" s="24"/>
      <c r="F503" s="21" t="str">
        <f aca="false">IF(OR($B503="",$D503=""),"",IFERROR(IF($D503="Entrée",INDEX(Produits!$E$5:$E$204,MATCH($B503,Produits!$A$5:$A$204,0)),INDEX(Produits!$F$5:$F$204,MATCH($B503,Produits!$A$5:$A$204,0))),""))</f>
        <v/>
      </c>
      <c r="G503" s="21" t="str">
        <f aca="false">IF(OR($F503="",$E503=""),"",$E503*$F503)</f>
        <v/>
      </c>
      <c r="H503" s="21" t="str">
        <f aca="false">IF(AND($D503="Sortie",$B503&lt;&gt;"",$E503&lt;&gt;""),IFERROR($E503*INDEX(Produits!$E$5:$E$204,MATCH($B503,Produits!$A$5:$A$204,0)),""),"")</f>
        <v/>
      </c>
      <c r="I503" s="23"/>
    </row>
    <row r="504" customFormat="false" ht="15" hidden="false" customHeight="false" outlineLevel="0" collapsed="false">
      <c r="A504" s="27"/>
      <c r="B504" s="23"/>
      <c r="C504" s="26" t="str">
        <f aca="false">IF($B504="","",IFERROR(INDEX(Produits!$B$5:$B$204,MATCH($B504,Produits!$A$5:$A$204,0)),"Code inconnu"))</f>
        <v/>
      </c>
      <c r="D504" s="23"/>
      <c r="E504" s="24"/>
      <c r="F504" s="21" t="str">
        <f aca="false">IF(OR($B504="",$D504=""),"",IFERROR(IF($D504="Entrée",INDEX(Produits!$E$5:$E$204,MATCH($B504,Produits!$A$5:$A$204,0)),INDEX(Produits!$F$5:$F$204,MATCH($B504,Produits!$A$5:$A$204,0))),""))</f>
        <v/>
      </c>
      <c r="G504" s="21" t="str">
        <f aca="false">IF(OR($F504="",$E504=""),"",$E504*$F504)</f>
        <v/>
      </c>
      <c r="H504" s="21" t="str">
        <f aca="false">IF(AND($D504="Sortie",$B504&lt;&gt;"",$E504&lt;&gt;""),IFERROR($E504*INDEX(Produits!$E$5:$E$204,MATCH($B504,Produits!$A$5:$A$204,0)),""),"")</f>
        <v/>
      </c>
      <c r="I504" s="23"/>
    </row>
    <row r="505" customFormat="false" ht="15" hidden="false" customHeight="false" outlineLevel="0" collapsed="false">
      <c r="A505" s="27"/>
      <c r="B505" s="23"/>
      <c r="C505" s="26" t="str">
        <f aca="false">IF($B505="","",IFERROR(INDEX(Produits!$B$5:$B$204,MATCH($B505,Produits!$A$5:$A$204,0)),"Code inconnu"))</f>
        <v/>
      </c>
      <c r="D505" s="23"/>
      <c r="E505" s="24"/>
      <c r="F505" s="21" t="str">
        <f aca="false">IF(OR($B505="",$D505=""),"",IFERROR(IF($D505="Entrée",INDEX(Produits!$E$5:$E$204,MATCH($B505,Produits!$A$5:$A$204,0)),INDEX(Produits!$F$5:$F$204,MATCH($B505,Produits!$A$5:$A$204,0))),""))</f>
        <v/>
      </c>
      <c r="G505" s="21" t="str">
        <f aca="false">IF(OR($F505="",$E505=""),"",$E505*$F505)</f>
        <v/>
      </c>
      <c r="H505" s="21" t="str">
        <f aca="false">IF(AND($D505="Sortie",$B505&lt;&gt;"",$E505&lt;&gt;""),IFERROR($E505*INDEX(Produits!$E$5:$E$204,MATCH($B505,Produits!$A$5:$A$204,0)),""),"")</f>
        <v/>
      </c>
      <c r="I505" s="23"/>
    </row>
    <row r="506" customFormat="false" ht="15" hidden="false" customHeight="false" outlineLevel="0" collapsed="false">
      <c r="A506" s="27"/>
      <c r="B506" s="23"/>
      <c r="C506" s="26" t="str">
        <f aca="false">IF($B506="","",IFERROR(INDEX(Produits!$B$5:$B$204,MATCH($B506,Produits!$A$5:$A$204,0)),"Code inconnu"))</f>
        <v/>
      </c>
      <c r="D506" s="23"/>
      <c r="E506" s="24"/>
      <c r="F506" s="21" t="str">
        <f aca="false">IF(OR($B506="",$D506=""),"",IFERROR(IF($D506="Entrée",INDEX(Produits!$E$5:$E$204,MATCH($B506,Produits!$A$5:$A$204,0)),INDEX(Produits!$F$5:$F$204,MATCH($B506,Produits!$A$5:$A$204,0))),""))</f>
        <v/>
      </c>
      <c r="G506" s="21" t="str">
        <f aca="false">IF(OR($F506="",$E506=""),"",$E506*$F506)</f>
        <v/>
      </c>
      <c r="H506" s="21" t="str">
        <f aca="false">IF(AND($D506="Sortie",$B506&lt;&gt;"",$E506&lt;&gt;""),IFERROR($E506*INDEX(Produits!$E$5:$E$204,MATCH($B506,Produits!$A$5:$A$204,0)),""),"")</f>
        <v/>
      </c>
      <c r="I506" s="23"/>
    </row>
    <row r="507" customFormat="false" ht="15" hidden="false" customHeight="false" outlineLevel="0" collapsed="false">
      <c r="A507" s="27"/>
      <c r="B507" s="23"/>
      <c r="C507" s="26" t="str">
        <f aca="false">IF($B507="","",IFERROR(INDEX(Produits!$B$5:$B$204,MATCH($B507,Produits!$A$5:$A$204,0)),"Code inconnu"))</f>
        <v/>
      </c>
      <c r="D507" s="23"/>
      <c r="E507" s="24"/>
      <c r="F507" s="21" t="str">
        <f aca="false">IF(OR($B507="",$D507=""),"",IFERROR(IF($D507="Entrée",INDEX(Produits!$E$5:$E$204,MATCH($B507,Produits!$A$5:$A$204,0)),INDEX(Produits!$F$5:$F$204,MATCH($B507,Produits!$A$5:$A$204,0))),""))</f>
        <v/>
      </c>
      <c r="G507" s="21" t="str">
        <f aca="false">IF(OR($F507="",$E507=""),"",$E507*$F507)</f>
        <v/>
      </c>
      <c r="H507" s="21" t="str">
        <f aca="false">IF(AND($D507="Sortie",$B507&lt;&gt;"",$E507&lt;&gt;""),IFERROR($E507*INDEX(Produits!$E$5:$E$204,MATCH($B507,Produits!$A$5:$A$204,0)),""),"")</f>
        <v/>
      </c>
      <c r="I507" s="23"/>
    </row>
    <row r="508" customFormat="false" ht="15" hidden="false" customHeight="false" outlineLevel="0" collapsed="false">
      <c r="A508" s="27"/>
      <c r="B508" s="23"/>
      <c r="C508" s="26" t="str">
        <f aca="false">IF($B508="","",IFERROR(INDEX(Produits!$B$5:$B$204,MATCH($B508,Produits!$A$5:$A$204,0)),"Code inconnu"))</f>
        <v/>
      </c>
      <c r="D508" s="23"/>
      <c r="E508" s="24"/>
      <c r="F508" s="21" t="str">
        <f aca="false">IF(OR($B508="",$D508=""),"",IFERROR(IF($D508="Entrée",INDEX(Produits!$E$5:$E$204,MATCH($B508,Produits!$A$5:$A$204,0)),INDEX(Produits!$F$5:$F$204,MATCH($B508,Produits!$A$5:$A$204,0))),""))</f>
        <v/>
      </c>
      <c r="G508" s="21" t="str">
        <f aca="false">IF(OR($F508="",$E508=""),"",$E508*$F508)</f>
        <v/>
      </c>
      <c r="H508" s="21" t="str">
        <f aca="false">IF(AND($D508="Sortie",$B508&lt;&gt;"",$E508&lt;&gt;""),IFERROR($E508*INDEX(Produits!$E$5:$E$204,MATCH($B508,Produits!$A$5:$A$204,0)),""),"")</f>
        <v/>
      </c>
      <c r="I508" s="23"/>
    </row>
    <row r="509" customFormat="false" ht="15" hidden="false" customHeight="false" outlineLevel="0" collapsed="false">
      <c r="A509" s="27"/>
      <c r="B509" s="23"/>
      <c r="C509" s="26" t="str">
        <f aca="false">IF($B509="","",IFERROR(INDEX(Produits!$B$5:$B$204,MATCH($B509,Produits!$A$5:$A$204,0)),"Code inconnu"))</f>
        <v/>
      </c>
      <c r="D509" s="23"/>
      <c r="E509" s="24"/>
      <c r="F509" s="21" t="str">
        <f aca="false">IF(OR($B509="",$D509=""),"",IFERROR(IF($D509="Entrée",INDEX(Produits!$E$5:$E$204,MATCH($B509,Produits!$A$5:$A$204,0)),INDEX(Produits!$F$5:$F$204,MATCH($B509,Produits!$A$5:$A$204,0))),""))</f>
        <v/>
      </c>
      <c r="G509" s="21" t="str">
        <f aca="false">IF(OR($F509="",$E509=""),"",$E509*$F509)</f>
        <v/>
      </c>
      <c r="H509" s="21" t="str">
        <f aca="false">IF(AND($D509="Sortie",$B509&lt;&gt;"",$E509&lt;&gt;""),IFERROR($E509*INDEX(Produits!$E$5:$E$204,MATCH($B509,Produits!$A$5:$A$204,0)),""),"")</f>
        <v/>
      </c>
      <c r="I509" s="23"/>
    </row>
    <row r="510" customFormat="false" ht="15" hidden="false" customHeight="false" outlineLevel="0" collapsed="false">
      <c r="A510" s="27"/>
      <c r="B510" s="23"/>
      <c r="C510" s="26" t="str">
        <f aca="false">IF($B510="","",IFERROR(INDEX(Produits!$B$5:$B$204,MATCH($B510,Produits!$A$5:$A$204,0)),"Code inconnu"))</f>
        <v/>
      </c>
      <c r="D510" s="23"/>
      <c r="E510" s="24"/>
      <c r="F510" s="21" t="str">
        <f aca="false">IF(OR($B510="",$D510=""),"",IFERROR(IF($D510="Entrée",INDEX(Produits!$E$5:$E$204,MATCH($B510,Produits!$A$5:$A$204,0)),INDEX(Produits!$F$5:$F$204,MATCH($B510,Produits!$A$5:$A$204,0))),""))</f>
        <v/>
      </c>
      <c r="G510" s="21" t="str">
        <f aca="false">IF(OR($F510="",$E510=""),"",$E510*$F510)</f>
        <v/>
      </c>
      <c r="H510" s="21" t="str">
        <f aca="false">IF(AND($D510="Sortie",$B510&lt;&gt;"",$E510&lt;&gt;""),IFERROR($E510*INDEX(Produits!$E$5:$E$204,MATCH($B510,Produits!$A$5:$A$204,0)),""),"")</f>
        <v/>
      </c>
      <c r="I510" s="23"/>
    </row>
    <row r="511" customFormat="false" ht="15" hidden="false" customHeight="false" outlineLevel="0" collapsed="false">
      <c r="A511" s="27"/>
      <c r="B511" s="23"/>
      <c r="C511" s="26" t="str">
        <f aca="false">IF($B511="","",IFERROR(INDEX(Produits!$B$5:$B$204,MATCH($B511,Produits!$A$5:$A$204,0)),"Code inconnu"))</f>
        <v/>
      </c>
      <c r="D511" s="23"/>
      <c r="E511" s="24"/>
      <c r="F511" s="21" t="str">
        <f aca="false">IF(OR($B511="",$D511=""),"",IFERROR(IF($D511="Entrée",INDEX(Produits!$E$5:$E$204,MATCH($B511,Produits!$A$5:$A$204,0)),INDEX(Produits!$F$5:$F$204,MATCH($B511,Produits!$A$5:$A$204,0))),""))</f>
        <v/>
      </c>
      <c r="G511" s="21" t="str">
        <f aca="false">IF(OR($F511="",$E511=""),"",$E511*$F511)</f>
        <v/>
      </c>
      <c r="H511" s="21" t="str">
        <f aca="false">IF(AND($D511="Sortie",$B511&lt;&gt;"",$E511&lt;&gt;""),IFERROR($E511*INDEX(Produits!$E$5:$E$204,MATCH($B511,Produits!$A$5:$A$204,0)),""),"")</f>
        <v/>
      </c>
      <c r="I511" s="23"/>
    </row>
    <row r="512" customFormat="false" ht="15" hidden="false" customHeight="false" outlineLevel="0" collapsed="false">
      <c r="A512" s="27"/>
      <c r="B512" s="23"/>
      <c r="C512" s="26" t="str">
        <f aca="false">IF($B512="","",IFERROR(INDEX(Produits!$B$5:$B$204,MATCH($B512,Produits!$A$5:$A$204,0)),"Code inconnu"))</f>
        <v/>
      </c>
      <c r="D512" s="23"/>
      <c r="E512" s="24"/>
      <c r="F512" s="21" t="str">
        <f aca="false">IF(OR($B512="",$D512=""),"",IFERROR(IF($D512="Entrée",INDEX(Produits!$E$5:$E$204,MATCH($B512,Produits!$A$5:$A$204,0)),INDEX(Produits!$F$5:$F$204,MATCH($B512,Produits!$A$5:$A$204,0))),""))</f>
        <v/>
      </c>
      <c r="G512" s="21" t="str">
        <f aca="false">IF(OR($F512="",$E512=""),"",$E512*$F512)</f>
        <v/>
      </c>
      <c r="H512" s="21" t="str">
        <f aca="false">IF(AND($D512="Sortie",$B512&lt;&gt;"",$E512&lt;&gt;""),IFERROR($E512*INDEX(Produits!$E$5:$E$204,MATCH($B512,Produits!$A$5:$A$204,0)),""),"")</f>
        <v/>
      </c>
      <c r="I512" s="23"/>
    </row>
    <row r="513" customFormat="false" ht="15" hidden="false" customHeight="false" outlineLevel="0" collapsed="false">
      <c r="A513" s="27"/>
      <c r="B513" s="23"/>
      <c r="C513" s="26" t="str">
        <f aca="false">IF($B513="","",IFERROR(INDEX(Produits!$B$5:$B$204,MATCH($B513,Produits!$A$5:$A$204,0)),"Code inconnu"))</f>
        <v/>
      </c>
      <c r="D513" s="23"/>
      <c r="E513" s="24"/>
      <c r="F513" s="21" t="str">
        <f aca="false">IF(OR($B513="",$D513=""),"",IFERROR(IF($D513="Entrée",INDEX(Produits!$E$5:$E$204,MATCH($B513,Produits!$A$5:$A$204,0)),INDEX(Produits!$F$5:$F$204,MATCH($B513,Produits!$A$5:$A$204,0))),""))</f>
        <v/>
      </c>
      <c r="G513" s="21" t="str">
        <f aca="false">IF(OR($F513="",$E513=""),"",$E513*$F513)</f>
        <v/>
      </c>
      <c r="H513" s="21" t="str">
        <f aca="false">IF(AND($D513="Sortie",$B513&lt;&gt;"",$E513&lt;&gt;""),IFERROR($E513*INDEX(Produits!$E$5:$E$204,MATCH($B513,Produits!$A$5:$A$204,0)),""),"")</f>
        <v/>
      </c>
      <c r="I513" s="23"/>
    </row>
    <row r="514" customFormat="false" ht="15" hidden="false" customHeight="false" outlineLevel="0" collapsed="false">
      <c r="A514" s="27"/>
      <c r="B514" s="23"/>
      <c r="C514" s="26" t="str">
        <f aca="false">IF($B514="","",IFERROR(INDEX(Produits!$B$5:$B$204,MATCH($B514,Produits!$A$5:$A$204,0)),"Code inconnu"))</f>
        <v/>
      </c>
      <c r="D514" s="23"/>
      <c r="E514" s="24"/>
      <c r="F514" s="21" t="str">
        <f aca="false">IF(OR($B514="",$D514=""),"",IFERROR(IF($D514="Entrée",INDEX(Produits!$E$5:$E$204,MATCH($B514,Produits!$A$5:$A$204,0)),INDEX(Produits!$F$5:$F$204,MATCH($B514,Produits!$A$5:$A$204,0))),""))</f>
        <v/>
      </c>
      <c r="G514" s="21" t="str">
        <f aca="false">IF(OR($F514="",$E514=""),"",$E514*$F514)</f>
        <v/>
      </c>
      <c r="H514" s="21" t="str">
        <f aca="false">IF(AND($D514="Sortie",$B514&lt;&gt;"",$E514&lt;&gt;""),IFERROR($E514*INDEX(Produits!$E$5:$E$204,MATCH($B514,Produits!$A$5:$A$204,0)),""),"")</f>
        <v/>
      </c>
      <c r="I514" s="23"/>
    </row>
    <row r="515" customFormat="false" ht="15" hidden="false" customHeight="false" outlineLevel="0" collapsed="false">
      <c r="A515" s="27"/>
      <c r="B515" s="23"/>
      <c r="C515" s="26" t="str">
        <f aca="false">IF($B515="","",IFERROR(INDEX(Produits!$B$5:$B$204,MATCH($B515,Produits!$A$5:$A$204,0)),"Code inconnu"))</f>
        <v/>
      </c>
      <c r="D515" s="23"/>
      <c r="E515" s="24"/>
      <c r="F515" s="21" t="str">
        <f aca="false">IF(OR($B515="",$D515=""),"",IFERROR(IF($D515="Entrée",INDEX(Produits!$E$5:$E$204,MATCH($B515,Produits!$A$5:$A$204,0)),INDEX(Produits!$F$5:$F$204,MATCH($B515,Produits!$A$5:$A$204,0))),""))</f>
        <v/>
      </c>
      <c r="G515" s="21" t="str">
        <f aca="false">IF(OR($F515="",$E515=""),"",$E515*$F515)</f>
        <v/>
      </c>
      <c r="H515" s="21" t="str">
        <f aca="false">IF(AND($D515="Sortie",$B515&lt;&gt;"",$E515&lt;&gt;""),IFERROR($E515*INDEX(Produits!$E$5:$E$204,MATCH($B515,Produits!$A$5:$A$204,0)),""),"")</f>
        <v/>
      </c>
      <c r="I515" s="23"/>
    </row>
    <row r="516" customFormat="false" ht="15" hidden="false" customHeight="false" outlineLevel="0" collapsed="false">
      <c r="A516" s="27"/>
      <c r="B516" s="23"/>
      <c r="C516" s="26" t="str">
        <f aca="false">IF($B516="","",IFERROR(INDEX(Produits!$B$5:$B$204,MATCH($B516,Produits!$A$5:$A$204,0)),"Code inconnu"))</f>
        <v/>
      </c>
      <c r="D516" s="23"/>
      <c r="E516" s="24"/>
      <c r="F516" s="21" t="str">
        <f aca="false">IF(OR($B516="",$D516=""),"",IFERROR(IF($D516="Entrée",INDEX(Produits!$E$5:$E$204,MATCH($B516,Produits!$A$5:$A$204,0)),INDEX(Produits!$F$5:$F$204,MATCH($B516,Produits!$A$5:$A$204,0))),""))</f>
        <v/>
      </c>
      <c r="G516" s="21" t="str">
        <f aca="false">IF(OR($F516="",$E516=""),"",$E516*$F516)</f>
        <v/>
      </c>
      <c r="H516" s="21" t="str">
        <f aca="false">IF(AND($D516="Sortie",$B516&lt;&gt;"",$E516&lt;&gt;""),IFERROR($E516*INDEX(Produits!$E$5:$E$204,MATCH($B516,Produits!$A$5:$A$204,0)),""),"")</f>
        <v/>
      </c>
      <c r="I516" s="23"/>
    </row>
    <row r="517" customFormat="false" ht="15" hidden="false" customHeight="false" outlineLevel="0" collapsed="false">
      <c r="A517" s="27"/>
      <c r="B517" s="23"/>
      <c r="C517" s="26" t="str">
        <f aca="false">IF($B517="","",IFERROR(INDEX(Produits!$B$5:$B$204,MATCH($B517,Produits!$A$5:$A$204,0)),"Code inconnu"))</f>
        <v/>
      </c>
      <c r="D517" s="23"/>
      <c r="E517" s="24"/>
      <c r="F517" s="21" t="str">
        <f aca="false">IF(OR($B517="",$D517=""),"",IFERROR(IF($D517="Entrée",INDEX(Produits!$E$5:$E$204,MATCH($B517,Produits!$A$5:$A$204,0)),INDEX(Produits!$F$5:$F$204,MATCH($B517,Produits!$A$5:$A$204,0))),""))</f>
        <v/>
      </c>
      <c r="G517" s="21" t="str">
        <f aca="false">IF(OR($F517="",$E517=""),"",$E517*$F517)</f>
        <v/>
      </c>
      <c r="H517" s="21" t="str">
        <f aca="false">IF(AND($D517="Sortie",$B517&lt;&gt;"",$E517&lt;&gt;""),IFERROR($E517*INDEX(Produits!$E$5:$E$204,MATCH($B517,Produits!$A$5:$A$204,0)),""),"")</f>
        <v/>
      </c>
      <c r="I517" s="23"/>
    </row>
    <row r="518" customFormat="false" ht="15" hidden="false" customHeight="false" outlineLevel="0" collapsed="false">
      <c r="A518" s="27"/>
      <c r="B518" s="23"/>
      <c r="C518" s="26" t="str">
        <f aca="false">IF($B518="","",IFERROR(INDEX(Produits!$B$5:$B$204,MATCH($B518,Produits!$A$5:$A$204,0)),"Code inconnu"))</f>
        <v/>
      </c>
      <c r="D518" s="23"/>
      <c r="E518" s="24"/>
      <c r="F518" s="21" t="str">
        <f aca="false">IF(OR($B518="",$D518=""),"",IFERROR(IF($D518="Entrée",INDEX(Produits!$E$5:$E$204,MATCH($B518,Produits!$A$5:$A$204,0)),INDEX(Produits!$F$5:$F$204,MATCH($B518,Produits!$A$5:$A$204,0))),""))</f>
        <v/>
      </c>
      <c r="G518" s="21" t="str">
        <f aca="false">IF(OR($F518="",$E518=""),"",$E518*$F518)</f>
        <v/>
      </c>
      <c r="H518" s="21" t="str">
        <f aca="false">IF(AND($D518="Sortie",$B518&lt;&gt;"",$E518&lt;&gt;""),IFERROR($E518*INDEX(Produits!$E$5:$E$204,MATCH($B518,Produits!$A$5:$A$204,0)),""),"")</f>
        <v/>
      </c>
      <c r="I518" s="23"/>
    </row>
    <row r="519" customFormat="false" ht="15" hidden="false" customHeight="false" outlineLevel="0" collapsed="false">
      <c r="A519" s="27"/>
      <c r="B519" s="23"/>
      <c r="C519" s="26" t="str">
        <f aca="false">IF($B519="","",IFERROR(INDEX(Produits!$B$5:$B$204,MATCH($B519,Produits!$A$5:$A$204,0)),"Code inconnu"))</f>
        <v/>
      </c>
      <c r="D519" s="23"/>
      <c r="E519" s="24"/>
      <c r="F519" s="21" t="str">
        <f aca="false">IF(OR($B519="",$D519=""),"",IFERROR(IF($D519="Entrée",INDEX(Produits!$E$5:$E$204,MATCH($B519,Produits!$A$5:$A$204,0)),INDEX(Produits!$F$5:$F$204,MATCH($B519,Produits!$A$5:$A$204,0))),""))</f>
        <v/>
      </c>
      <c r="G519" s="21" t="str">
        <f aca="false">IF(OR($F519="",$E519=""),"",$E519*$F519)</f>
        <v/>
      </c>
      <c r="H519" s="21" t="str">
        <f aca="false">IF(AND($D519="Sortie",$B519&lt;&gt;"",$E519&lt;&gt;""),IFERROR($E519*INDEX(Produits!$E$5:$E$204,MATCH($B519,Produits!$A$5:$A$204,0)),""),"")</f>
        <v/>
      </c>
      <c r="I519" s="23"/>
    </row>
    <row r="520" customFormat="false" ht="15" hidden="false" customHeight="false" outlineLevel="0" collapsed="false">
      <c r="A520" s="27"/>
      <c r="B520" s="23"/>
      <c r="C520" s="26" t="str">
        <f aca="false">IF($B520="","",IFERROR(INDEX(Produits!$B$5:$B$204,MATCH($B520,Produits!$A$5:$A$204,0)),"Code inconnu"))</f>
        <v/>
      </c>
      <c r="D520" s="23"/>
      <c r="E520" s="24"/>
      <c r="F520" s="21" t="str">
        <f aca="false">IF(OR($B520="",$D520=""),"",IFERROR(IF($D520="Entrée",INDEX(Produits!$E$5:$E$204,MATCH($B520,Produits!$A$5:$A$204,0)),INDEX(Produits!$F$5:$F$204,MATCH($B520,Produits!$A$5:$A$204,0))),""))</f>
        <v/>
      </c>
      <c r="G520" s="21" t="str">
        <f aca="false">IF(OR($F520="",$E520=""),"",$E520*$F520)</f>
        <v/>
      </c>
      <c r="H520" s="21" t="str">
        <f aca="false">IF(AND($D520="Sortie",$B520&lt;&gt;"",$E520&lt;&gt;""),IFERROR($E520*INDEX(Produits!$E$5:$E$204,MATCH($B520,Produits!$A$5:$A$204,0)),""),"")</f>
        <v/>
      </c>
      <c r="I520" s="23"/>
    </row>
    <row r="521" customFormat="false" ht="15" hidden="false" customHeight="false" outlineLevel="0" collapsed="false">
      <c r="A521" s="27"/>
      <c r="B521" s="23"/>
      <c r="C521" s="26" t="str">
        <f aca="false">IF($B521="","",IFERROR(INDEX(Produits!$B$5:$B$204,MATCH($B521,Produits!$A$5:$A$204,0)),"Code inconnu"))</f>
        <v/>
      </c>
      <c r="D521" s="23"/>
      <c r="E521" s="24"/>
      <c r="F521" s="21" t="str">
        <f aca="false">IF(OR($B521="",$D521=""),"",IFERROR(IF($D521="Entrée",INDEX(Produits!$E$5:$E$204,MATCH($B521,Produits!$A$5:$A$204,0)),INDEX(Produits!$F$5:$F$204,MATCH($B521,Produits!$A$5:$A$204,0))),""))</f>
        <v/>
      </c>
      <c r="G521" s="21" t="str">
        <f aca="false">IF(OR($F521="",$E521=""),"",$E521*$F521)</f>
        <v/>
      </c>
      <c r="H521" s="21" t="str">
        <f aca="false">IF(AND($D521="Sortie",$B521&lt;&gt;"",$E521&lt;&gt;""),IFERROR($E521*INDEX(Produits!$E$5:$E$204,MATCH($B521,Produits!$A$5:$A$204,0)),""),"")</f>
        <v/>
      </c>
      <c r="I521" s="23"/>
    </row>
    <row r="522" customFormat="false" ht="15" hidden="false" customHeight="false" outlineLevel="0" collapsed="false">
      <c r="A522" s="27"/>
      <c r="B522" s="23"/>
      <c r="C522" s="26" t="str">
        <f aca="false">IF($B522="","",IFERROR(INDEX(Produits!$B$5:$B$204,MATCH($B522,Produits!$A$5:$A$204,0)),"Code inconnu"))</f>
        <v/>
      </c>
      <c r="D522" s="23"/>
      <c r="E522" s="24"/>
      <c r="F522" s="21" t="str">
        <f aca="false">IF(OR($B522="",$D522=""),"",IFERROR(IF($D522="Entrée",INDEX(Produits!$E$5:$E$204,MATCH($B522,Produits!$A$5:$A$204,0)),INDEX(Produits!$F$5:$F$204,MATCH($B522,Produits!$A$5:$A$204,0))),""))</f>
        <v/>
      </c>
      <c r="G522" s="21" t="str">
        <f aca="false">IF(OR($F522="",$E522=""),"",$E522*$F522)</f>
        <v/>
      </c>
      <c r="H522" s="21" t="str">
        <f aca="false">IF(AND($D522="Sortie",$B522&lt;&gt;"",$E522&lt;&gt;""),IFERROR($E522*INDEX(Produits!$E$5:$E$204,MATCH($B522,Produits!$A$5:$A$204,0)),""),"")</f>
        <v/>
      </c>
      <c r="I522" s="23"/>
    </row>
    <row r="523" customFormat="false" ht="15" hidden="false" customHeight="false" outlineLevel="0" collapsed="false">
      <c r="A523" s="27"/>
      <c r="B523" s="23"/>
      <c r="C523" s="26" t="str">
        <f aca="false">IF($B523="","",IFERROR(INDEX(Produits!$B$5:$B$204,MATCH($B523,Produits!$A$5:$A$204,0)),"Code inconnu"))</f>
        <v/>
      </c>
      <c r="D523" s="23"/>
      <c r="E523" s="24"/>
      <c r="F523" s="21" t="str">
        <f aca="false">IF(OR($B523="",$D523=""),"",IFERROR(IF($D523="Entrée",INDEX(Produits!$E$5:$E$204,MATCH($B523,Produits!$A$5:$A$204,0)),INDEX(Produits!$F$5:$F$204,MATCH($B523,Produits!$A$5:$A$204,0))),""))</f>
        <v/>
      </c>
      <c r="G523" s="21" t="str">
        <f aca="false">IF(OR($F523="",$E523=""),"",$E523*$F523)</f>
        <v/>
      </c>
      <c r="H523" s="21" t="str">
        <f aca="false">IF(AND($D523="Sortie",$B523&lt;&gt;"",$E523&lt;&gt;""),IFERROR($E523*INDEX(Produits!$E$5:$E$204,MATCH($B523,Produits!$A$5:$A$204,0)),""),"")</f>
        <v/>
      </c>
      <c r="I523" s="23"/>
    </row>
    <row r="524" customFormat="false" ht="15" hidden="false" customHeight="false" outlineLevel="0" collapsed="false">
      <c r="A524" s="27"/>
      <c r="B524" s="23"/>
      <c r="C524" s="26" t="str">
        <f aca="false">IF($B524="","",IFERROR(INDEX(Produits!$B$5:$B$204,MATCH($B524,Produits!$A$5:$A$204,0)),"Code inconnu"))</f>
        <v/>
      </c>
      <c r="D524" s="23"/>
      <c r="E524" s="24"/>
      <c r="F524" s="21" t="str">
        <f aca="false">IF(OR($B524="",$D524=""),"",IFERROR(IF($D524="Entrée",INDEX(Produits!$E$5:$E$204,MATCH($B524,Produits!$A$5:$A$204,0)),INDEX(Produits!$F$5:$F$204,MATCH($B524,Produits!$A$5:$A$204,0))),""))</f>
        <v/>
      </c>
      <c r="G524" s="21" t="str">
        <f aca="false">IF(OR($F524="",$E524=""),"",$E524*$F524)</f>
        <v/>
      </c>
      <c r="H524" s="21" t="str">
        <f aca="false">IF(AND($D524="Sortie",$B524&lt;&gt;"",$E524&lt;&gt;""),IFERROR($E524*INDEX(Produits!$E$5:$E$204,MATCH($B524,Produits!$A$5:$A$204,0)),""),"")</f>
        <v/>
      </c>
      <c r="I524" s="23"/>
    </row>
    <row r="525" customFormat="false" ht="15" hidden="false" customHeight="false" outlineLevel="0" collapsed="false">
      <c r="A525" s="27"/>
      <c r="B525" s="23"/>
      <c r="C525" s="26" t="str">
        <f aca="false">IF($B525="","",IFERROR(INDEX(Produits!$B$5:$B$204,MATCH($B525,Produits!$A$5:$A$204,0)),"Code inconnu"))</f>
        <v/>
      </c>
      <c r="D525" s="23"/>
      <c r="E525" s="24"/>
      <c r="F525" s="21" t="str">
        <f aca="false">IF(OR($B525="",$D525=""),"",IFERROR(IF($D525="Entrée",INDEX(Produits!$E$5:$E$204,MATCH($B525,Produits!$A$5:$A$204,0)),INDEX(Produits!$F$5:$F$204,MATCH($B525,Produits!$A$5:$A$204,0))),""))</f>
        <v/>
      </c>
      <c r="G525" s="21" t="str">
        <f aca="false">IF(OR($F525="",$E525=""),"",$E525*$F525)</f>
        <v/>
      </c>
      <c r="H525" s="21" t="str">
        <f aca="false">IF(AND($D525="Sortie",$B525&lt;&gt;"",$E525&lt;&gt;""),IFERROR($E525*INDEX(Produits!$E$5:$E$204,MATCH($B525,Produits!$A$5:$A$204,0)),""),"")</f>
        <v/>
      </c>
      <c r="I525" s="23"/>
    </row>
    <row r="526" customFormat="false" ht="15" hidden="false" customHeight="false" outlineLevel="0" collapsed="false">
      <c r="A526" s="27"/>
      <c r="B526" s="23"/>
      <c r="C526" s="26" t="str">
        <f aca="false">IF($B526="","",IFERROR(INDEX(Produits!$B$5:$B$204,MATCH($B526,Produits!$A$5:$A$204,0)),"Code inconnu"))</f>
        <v/>
      </c>
      <c r="D526" s="23"/>
      <c r="E526" s="24"/>
      <c r="F526" s="21" t="str">
        <f aca="false">IF(OR($B526="",$D526=""),"",IFERROR(IF($D526="Entrée",INDEX(Produits!$E$5:$E$204,MATCH($B526,Produits!$A$5:$A$204,0)),INDEX(Produits!$F$5:$F$204,MATCH($B526,Produits!$A$5:$A$204,0))),""))</f>
        <v/>
      </c>
      <c r="G526" s="21" t="str">
        <f aca="false">IF(OR($F526="",$E526=""),"",$E526*$F526)</f>
        <v/>
      </c>
      <c r="H526" s="21" t="str">
        <f aca="false">IF(AND($D526="Sortie",$B526&lt;&gt;"",$E526&lt;&gt;""),IFERROR($E526*INDEX(Produits!$E$5:$E$204,MATCH($B526,Produits!$A$5:$A$204,0)),""),"")</f>
        <v/>
      </c>
      <c r="I526" s="23"/>
    </row>
    <row r="527" customFormat="false" ht="15" hidden="false" customHeight="false" outlineLevel="0" collapsed="false">
      <c r="A527" s="27"/>
      <c r="B527" s="23"/>
      <c r="C527" s="26" t="str">
        <f aca="false">IF($B527="","",IFERROR(INDEX(Produits!$B$5:$B$204,MATCH($B527,Produits!$A$5:$A$204,0)),"Code inconnu"))</f>
        <v/>
      </c>
      <c r="D527" s="23"/>
      <c r="E527" s="24"/>
      <c r="F527" s="21" t="str">
        <f aca="false">IF(OR($B527="",$D527=""),"",IFERROR(IF($D527="Entrée",INDEX(Produits!$E$5:$E$204,MATCH($B527,Produits!$A$5:$A$204,0)),INDEX(Produits!$F$5:$F$204,MATCH($B527,Produits!$A$5:$A$204,0))),""))</f>
        <v/>
      </c>
      <c r="G527" s="21" t="str">
        <f aca="false">IF(OR($F527="",$E527=""),"",$E527*$F527)</f>
        <v/>
      </c>
      <c r="H527" s="21" t="str">
        <f aca="false">IF(AND($D527="Sortie",$B527&lt;&gt;"",$E527&lt;&gt;""),IFERROR($E527*INDEX(Produits!$E$5:$E$204,MATCH($B527,Produits!$A$5:$A$204,0)),""),"")</f>
        <v/>
      </c>
      <c r="I527" s="23"/>
    </row>
    <row r="528" customFormat="false" ht="15" hidden="false" customHeight="false" outlineLevel="0" collapsed="false">
      <c r="A528" s="27"/>
      <c r="B528" s="23"/>
      <c r="C528" s="26" t="str">
        <f aca="false">IF($B528="","",IFERROR(INDEX(Produits!$B$5:$B$204,MATCH($B528,Produits!$A$5:$A$204,0)),"Code inconnu"))</f>
        <v/>
      </c>
      <c r="D528" s="23"/>
      <c r="E528" s="24"/>
      <c r="F528" s="21" t="str">
        <f aca="false">IF(OR($B528="",$D528=""),"",IFERROR(IF($D528="Entrée",INDEX(Produits!$E$5:$E$204,MATCH($B528,Produits!$A$5:$A$204,0)),INDEX(Produits!$F$5:$F$204,MATCH($B528,Produits!$A$5:$A$204,0))),""))</f>
        <v/>
      </c>
      <c r="G528" s="21" t="str">
        <f aca="false">IF(OR($F528="",$E528=""),"",$E528*$F528)</f>
        <v/>
      </c>
      <c r="H528" s="21" t="str">
        <f aca="false">IF(AND($D528="Sortie",$B528&lt;&gt;"",$E528&lt;&gt;""),IFERROR($E528*INDEX(Produits!$E$5:$E$204,MATCH($B528,Produits!$A$5:$A$204,0)),""),"")</f>
        <v/>
      </c>
      <c r="I528" s="23"/>
    </row>
    <row r="529" customFormat="false" ht="15" hidden="false" customHeight="false" outlineLevel="0" collapsed="false">
      <c r="A529" s="27"/>
      <c r="B529" s="23"/>
      <c r="C529" s="26" t="str">
        <f aca="false">IF($B529="","",IFERROR(INDEX(Produits!$B$5:$B$204,MATCH($B529,Produits!$A$5:$A$204,0)),"Code inconnu"))</f>
        <v/>
      </c>
      <c r="D529" s="23"/>
      <c r="E529" s="24"/>
      <c r="F529" s="21" t="str">
        <f aca="false">IF(OR($B529="",$D529=""),"",IFERROR(IF($D529="Entrée",INDEX(Produits!$E$5:$E$204,MATCH($B529,Produits!$A$5:$A$204,0)),INDEX(Produits!$F$5:$F$204,MATCH($B529,Produits!$A$5:$A$204,0))),""))</f>
        <v/>
      </c>
      <c r="G529" s="21" t="str">
        <f aca="false">IF(OR($F529="",$E529=""),"",$E529*$F529)</f>
        <v/>
      </c>
      <c r="H529" s="21" t="str">
        <f aca="false">IF(AND($D529="Sortie",$B529&lt;&gt;"",$E529&lt;&gt;""),IFERROR($E529*INDEX(Produits!$E$5:$E$204,MATCH($B529,Produits!$A$5:$A$204,0)),""),"")</f>
        <v/>
      </c>
      <c r="I529" s="23"/>
    </row>
    <row r="530" customFormat="false" ht="15" hidden="false" customHeight="false" outlineLevel="0" collapsed="false">
      <c r="A530" s="27"/>
      <c r="B530" s="23"/>
      <c r="C530" s="26" t="str">
        <f aca="false">IF($B530="","",IFERROR(INDEX(Produits!$B$5:$B$204,MATCH($B530,Produits!$A$5:$A$204,0)),"Code inconnu"))</f>
        <v/>
      </c>
      <c r="D530" s="23"/>
      <c r="E530" s="24"/>
      <c r="F530" s="21" t="str">
        <f aca="false">IF(OR($B530="",$D530=""),"",IFERROR(IF($D530="Entrée",INDEX(Produits!$E$5:$E$204,MATCH($B530,Produits!$A$5:$A$204,0)),INDEX(Produits!$F$5:$F$204,MATCH($B530,Produits!$A$5:$A$204,0))),""))</f>
        <v/>
      </c>
      <c r="G530" s="21" t="str">
        <f aca="false">IF(OR($F530="",$E530=""),"",$E530*$F530)</f>
        <v/>
      </c>
      <c r="H530" s="21" t="str">
        <f aca="false">IF(AND($D530="Sortie",$B530&lt;&gt;"",$E530&lt;&gt;""),IFERROR($E530*INDEX(Produits!$E$5:$E$204,MATCH($B530,Produits!$A$5:$A$204,0)),""),"")</f>
        <v/>
      </c>
      <c r="I530" s="23"/>
    </row>
    <row r="531" customFormat="false" ht="15" hidden="false" customHeight="false" outlineLevel="0" collapsed="false">
      <c r="A531" s="27"/>
      <c r="B531" s="23"/>
      <c r="C531" s="26" t="str">
        <f aca="false">IF($B531="","",IFERROR(INDEX(Produits!$B$5:$B$204,MATCH($B531,Produits!$A$5:$A$204,0)),"Code inconnu"))</f>
        <v/>
      </c>
      <c r="D531" s="23"/>
      <c r="E531" s="24"/>
      <c r="F531" s="21" t="str">
        <f aca="false">IF(OR($B531="",$D531=""),"",IFERROR(IF($D531="Entrée",INDEX(Produits!$E$5:$E$204,MATCH($B531,Produits!$A$5:$A$204,0)),INDEX(Produits!$F$5:$F$204,MATCH($B531,Produits!$A$5:$A$204,0))),""))</f>
        <v/>
      </c>
      <c r="G531" s="21" t="str">
        <f aca="false">IF(OR($F531="",$E531=""),"",$E531*$F531)</f>
        <v/>
      </c>
      <c r="H531" s="21" t="str">
        <f aca="false">IF(AND($D531="Sortie",$B531&lt;&gt;"",$E531&lt;&gt;""),IFERROR($E531*INDEX(Produits!$E$5:$E$204,MATCH($B531,Produits!$A$5:$A$204,0)),""),"")</f>
        <v/>
      </c>
      <c r="I531" s="23"/>
    </row>
    <row r="532" customFormat="false" ht="15" hidden="false" customHeight="false" outlineLevel="0" collapsed="false">
      <c r="A532" s="27"/>
      <c r="B532" s="23"/>
      <c r="C532" s="26" t="str">
        <f aca="false">IF($B532="","",IFERROR(INDEX(Produits!$B$5:$B$204,MATCH($B532,Produits!$A$5:$A$204,0)),"Code inconnu"))</f>
        <v/>
      </c>
      <c r="D532" s="23"/>
      <c r="E532" s="24"/>
      <c r="F532" s="21" t="str">
        <f aca="false">IF(OR($B532="",$D532=""),"",IFERROR(IF($D532="Entrée",INDEX(Produits!$E$5:$E$204,MATCH($B532,Produits!$A$5:$A$204,0)),INDEX(Produits!$F$5:$F$204,MATCH($B532,Produits!$A$5:$A$204,0))),""))</f>
        <v/>
      </c>
      <c r="G532" s="21" t="str">
        <f aca="false">IF(OR($F532="",$E532=""),"",$E532*$F532)</f>
        <v/>
      </c>
      <c r="H532" s="21" t="str">
        <f aca="false">IF(AND($D532="Sortie",$B532&lt;&gt;"",$E532&lt;&gt;""),IFERROR($E532*INDEX(Produits!$E$5:$E$204,MATCH($B532,Produits!$A$5:$A$204,0)),""),"")</f>
        <v/>
      </c>
      <c r="I532" s="23"/>
    </row>
    <row r="533" customFormat="false" ht="15" hidden="false" customHeight="false" outlineLevel="0" collapsed="false">
      <c r="A533" s="27"/>
      <c r="B533" s="23"/>
      <c r="C533" s="26" t="str">
        <f aca="false">IF($B533="","",IFERROR(INDEX(Produits!$B$5:$B$204,MATCH($B533,Produits!$A$5:$A$204,0)),"Code inconnu"))</f>
        <v/>
      </c>
      <c r="D533" s="23"/>
      <c r="E533" s="24"/>
      <c r="F533" s="21" t="str">
        <f aca="false">IF(OR($B533="",$D533=""),"",IFERROR(IF($D533="Entrée",INDEX(Produits!$E$5:$E$204,MATCH($B533,Produits!$A$5:$A$204,0)),INDEX(Produits!$F$5:$F$204,MATCH($B533,Produits!$A$5:$A$204,0))),""))</f>
        <v/>
      </c>
      <c r="G533" s="21" t="str">
        <f aca="false">IF(OR($F533="",$E533=""),"",$E533*$F533)</f>
        <v/>
      </c>
      <c r="H533" s="21" t="str">
        <f aca="false">IF(AND($D533="Sortie",$B533&lt;&gt;"",$E533&lt;&gt;""),IFERROR($E533*INDEX(Produits!$E$5:$E$204,MATCH($B533,Produits!$A$5:$A$204,0)),""),"")</f>
        <v/>
      </c>
      <c r="I533" s="23"/>
    </row>
    <row r="534" customFormat="false" ht="15" hidden="false" customHeight="false" outlineLevel="0" collapsed="false">
      <c r="A534" s="27"/>
      <c r="B534" s="23"/>
      <c r="C534" s="26" t="str">
        <f aca="false">IF($B534="","",IFERROR(INDEX(Produits!$B$5:$B$204,MATCH($B534,Produits!$A$5:$A$204,0)),"Code inconnu"))</f>
        <v/>
      </c>
      <c r="D534" s="23"/>
      <c r="E534" s="24"/>
      <c r="F534" s="21" t="str">
        <f aca="false">IF(OR($B534="",$D534=""),"",IFERROR(IF($D534="Entrée",INDEX(Produits!$E$5:$E$204,MATCH($B534,Produits!$A$5:$A$204,0)),INDEX(Produits!$F$5:$F$204,MATCH($B534,Produits!$A$5:$A$204,0))),""))</f>
        <v/>
      </c>
      <c r="G534" s="21" t="str">
        <f aca="false">IF(OR($F534="",$E534=""),"",$E534*$F534)</f>
        <v/>
      </c>
      <c r="H534" s="21" t="str">
        <f aca="false">IF(AND($D534="Sortie",$B534&lt;&gt;"",$E534&lt;&gt;""),IFERROR($E534*INDEX(Produits!$E$5:$E$204,MATCH($B534,Produits!$A$5:$A$204,0)),""),"")</f>
        <v/>
      </c>
      <c r="I534" s="23"/>
    </row>
    <row r="535" customFormat="false" ht="15" hidden="false" customHeight="false" outlineLevel="0" collapsed="false">
      <c r="A535" s="27"/>
      <c r="B535" s="23"/>
      <c r="C535" s="26" t="str">
        <f aca="false">IF($B535="","",IFERROR(INDEX(Produits!$B$5:$B$204,MATCH($B535,Produits!$A$5:$A$204,0)),"Code inconnu"))</f>
        <v/>
      </c>
      <c r="D535" s="23"/>
      <c r="E535" s="24"/>
      <c r="F535" s="21" t="str">
        <f aca="false">IF(OR($B535="",$D535=""),"",IFERROR(IF($D535="Entrée",INDEX(Produits!$E$5:$E$204,MATCH($B535,Produits!$A$5:$A$204,0)),INDEX(Produits!$F$5:$F$204,MATCH($B535,Produits!$A$5:$A$204,0))),""))</f>
        <v/>
      </c>
      <c r="G535" s="21" t="str">
        <f aca="false">IF(OR($F535="",$E535=""),"",$E535*$F535)</f>
        <v/>
      </c>
      <c r="H535" s="21" t="str">
        <f aca="false">IF(AND($D535="Sortie",$B535&lt;&gt;"",$E535&lt;&gt;""),IFERROR($E535*INDEX(Produits!$E$5:$E$204,MATCH($B535,Produits!$A$5:$A$204,0)),""),"")</f>
        <v/>
      </c>
      <c r="I535" s="23"/>
    </row>
    <row r="536" customFormat="false" ht="15" hidden="false" customHeight="false" outlineLevel="0" collapsed="false">
      <c r="A536" s="27"/>
      <c r="B536" s="23"/>
      <c r="C536" s="26" t="str">
        <f aca="false">IF($B536="","",IFERROR(INDEX(Produits!$B$5:$B$204,MATCH($B536,Produits!$A$5:$A$204,0)),"Code inconnu"))</f>
        <v/>
      </c>
      <c r="D536" s="23"/>
      <c r="E536" s="24"/>
      <c r="F536" s="21" t="str">
        <f aca="false">IF(OR($B536="",$D536=""),"",IFERROR(IF($D536="Entrée",INDEX(Produits!$E$5:$E$204,MATCH($B536,Produits!$A$5:$A$204,0)),INDEX(Produits!$F$5:$F$204,MATCH($B536,Produits!$A$5:$A$204,0))),""))</f>
        <v/>
      </c>
      <c r="G536" s="21" t="str">
        <f aca="false">IF(OR($F536="",$E536=""),"",$E536*$F536)</f>
        <v/>
      </c>
      <c r="H536" s="21" t="str">
        <f aca="false">IF(AND($D536="Sortie",$B536&lt;&gt;"",$E536&lt;&gt;""),IFERROR($E536*INDEX(Produits!$E$5:$E$204,MATCH($B536,Produits!$A$5:$A$204,0)),""),"")</f>
        <v/>
      </c>
      <c r="I536" s="23"/>
    </row>
    <row r="537" customFormat="false" ht="15" hidden="false" customHeight="false" outlineLevel="0" collapsed="false">
      <c r="A537" s="27"/>
      <c r="B537" s="23"/>
      <c r="C537" s="26" t="str">
        <f aca="false">IF($B537="","",IFERROR(INDEX(Produits!$B$5:$B$204,MATCH($B537,Produits!$A$5:$A$204,0)),"Code inconnu"))</f>
        <v/>
      </c>
      <c r="D537" s="23"/>
      <c r="E537" s="24"/>
      <c r="F537" s="21" t="str">
        <f aca="false">IF(OR($B537="",$D537=""),"",IFERROR(IF($D537="Entrée",INDEX(Produits!$E$5:$E$204,MATCH($B537,Produits!$A$5:$A$204,0)),INDEX(Produits!$F$5:$F$204,MATCH($B537,Produits!$A$5:$A$204,0))),""))</f>
        <v/>
      </c>
      <c r="G537" s="21" t="str">
        <f aca="false">IF(OR($F537="",$E537=""),"",$E537*$F537)</f>
        <v/>
      </c>
      <c r="H537" s="21" t="str">
        <f aca="false">IF(AND($D537="Sortie",$B537&lt;&gt;"",$E537&lt;&gt;""),IFERROR($E537*INDEX(Produits!$E$5:$E$204,MATCH($B537,Produits!$A$5:$A$204,0)),""),"")</f>
        <v/>
      </c>
      <c r="I537" s="23"/>
    </row>
    <row r="538" customFormat="false" ht="15" hidden="false" customHeight="false" outlineLevel="0" collapsed="false">
      <c r="A538" s="27"/>
      <c r="B538" s="23"/>
      <c r="C538" s="26" t="str">
        <f aca="false">IF($B538="","",IFERROR(INDEX(Produits!$B$5:$B$204,MATCH($B538,Produits!$A$5:$A$204,0)),"Code inconnu"))</f>
        <v/>
      </c>
      <c r="D538" s="23"/>
      <c r="E538" s="24"/>
      <c r="F538" s="21" t="str">
        <f aca="false">IF(OR($B538="",$D538=""),"",IFERROR(IF($D538="Entrée",INDEX(Produits!$E$5:$E$204,MATCH($B538,Produits!$A$5:$A$204,0)),INDEX(Produits!$F$5:$F$204,MATCH($B538,Produits!$A$5:$A$204,0))),""))</f>
        <v/>
      </c>
      <c r="G538" s="21" t="str">
        <f aca="false">IF(OR($F538="",$E538=""),"",$E538*$F538)</f>
        <v/>
      </c>
      <c r="H538" s="21" t="str">
        <f aca="false">IF(AND($D538="Sortie",$B538&lt;&gt;"",$E538&lt;&gt;""),IFERROR($E538*INDEX(Produits!$E$5:$E$204,MATCH($B538,Produits!$A$5:$A$204,0)),""),"")</f>
        <v/>
      </c>
      <c r="I538" s="23"/>
    </row>
    <row r="539" customFormat="false" ht="15" hidden="false" customHeight="false" outlineLevel="0" collapsed="false">
      <c r="A539" s="27"/>
      <c r="B539" s="23"/>
      <c r="C539" s="26" t="str">
        <f aca="false">IF($B539="","",IFERROR(INDEX(Produits!$B$5:$B$204,MATCH($B539,Produits!$A$5:$A$204,0)),"Code inconnu"))</f>
        <v/>
      </c>
      <c r="D539" s="23"/>
      <c r="E539" s="24"/>
      <c r="F539" s="21" t="str">
        <f aca="false">IF(OR($B539="",$D539=""),"",IFERROR(IF($D539="Entrée",INDEX(Produits!$E$5:$E$204,MATCH($B539,Produits!$A$5:$A$204,0)),INDEX(Produits!$F$5:$F$204,MATCH($B539,Produits!$A$5:$A$204,0))),""))</f>
        <v/>
      </c>
      <c r="G539" s="21" t="str">
        <f aca="false">IF(OR($F539="",$E539=""),"",$E539*$F539)</f>
        <v/>
      </c>
      <c r="H539" s="21" t="str">
        <f aca="false">IF(AND($D539="Sortie",$B539&lt;&gt;"",$E539&lt;&gt;""),IFERROR($E539*INDEX(Produits!$E$5:$E$204,MATCH($B539,Produits!$A$5:$A$204,0)),""),"")</f>
        <v/>
      </c>
      <c r="I539" s="23"/>
    </row>
    <row r="540" customFormat="false" ht="15" hidden="false" customHeight="false" outlineLevel="0" collapsed="false">
      <c r="A540" s="27"/>
      <c r="B540" s="23"/>
      <c r="C540" s="26" t="str">
        <f aca="false">IF($B540="","",IFERROR(INDEX(Produits!$B$5:$B$204,MATCH($B540,Produits!$A$5:$A$204,0)),"Code inconnu"))</f>
        <v/>
      </c>
      <c r="D540" s="23"/>
      <c r="E540" s="24"/>
      <c r="F540" s="21" t="str">
        <f aca="false">IF(OR($B540="",$D540=""),"",IFERROR(IF($D540="Entrée",INDEX(Produits!$E$5:$E$204,MATCH($B540,Produits!$A$5:$A$204,0)),INDEX(Produits!$F$5:$F$204,MATCH($B540,Produits!$A$5:$A$204,0))),""))</f>
        <v/>
      </c>
      <c r="G540" s="21" t="str">
        <f aca="false">IF(OR($F540="",$E540=""),"",$E540*$F540)</f>
        <v/>
      </c>
      <c r="H540" s="21" t="str">
        <f aca="false">IF(AND($D540="Sortie",$B540&lt;&gt;"",$E540&lt;&gt;""),IFERROR($E540*INDEX(Produits!$E$5:$E$204,MATCH($B540,Produits!$A$5:$A$204,0)),""),"")</f>
        <v/>
      </c>
      <c r="I540" s="23"/>
    </row>
    <row r="541" customFormat="false" ht="15" hidden="false" customHeight="false" outlineLevel="0" collapsed="false">
      <c r="A541" s="27"/>
      <c r="B541" s="23"/>
      <c r="C541" s="26" t="str">
        <f aca="false">IF($B541="","",IFERROR(INDEX(Produits!$B$5:$B$204,MATCH($B541,Produits!$A$5:$A$204,0)),"Code inconnu"))</f>
        <v/>
      </c>
      <c r="D541" s="23"/>
      <c r="E541" s="24"/>
      <c r="F541" s="21" t="str">
        <f aca="false">IF(OR($B541="",$D541=""),"",IFERROR(IF($D541="Entrée",INDEX(Produits!$E$5:$E$204,MATCH($B541,Produits!$A$5:$A$204,0)),INDEX(Produits!$F$5:$F$204,MATCH($B541,Produits!$A$5:$A$204,0))),""))</f>
        <v/>
      </c>
      <c r="G541" s="21" t="str">
        <f aca="false">IF(OR($F541="",$E541=""),"",$E541*$F541)</f>
        <v/>
      </c>
      <c r="H541" s="21" t="str">
        <f aca="false">IF(AND($D541="Sortie",$B541&lt;&gt;"",$E541&lt;&gt;""),IFERROR($E541*INDEX(Produits!$E$5:$E$204,MATCH($B541,Produits!$A$5:$A$204,0)),""),"")</f>
        <v/>
      </c>
      <c r="I541" s="23"/>
    </row>
    <row r="542" customFormat="false" ht="15" hidden="false" customHeight="false" outlineLevel="0" collapsed="false">
      <c r="A542" s="27"/>
      <c r="B542" s="23"/>
      <c r="C542" s="26" t="str">
        <f aca="false">IF($B542="","",IFERROR(INDEX(Produits!$B$5:$B$204,MATCH($B542,Produits!$A$5:$A$204,0)),"Code inconnu"))</f>
        <v/>
      </c>
      <c r="D542" s="23"/>
      <c r="E542" s="24"/>
      <c r="F542" s="21" t="str">
        <f aca="false">IF(OR($B542="",$D542=""),"",IFERROR(IF($D542="Entrée",INDEX(Produits!$E$5:$E$204,MATCH($B542,Produits!$A$5:$A$204,0)),INDEX(Produits!$F$5:$F$204,MATCH($B542,Produits!$A$5:$A$204,0))),""))</f>
        <v/>
      </c>
      <c r="G542" s="21" t="str">
        <f aca="false">IF(OR($F542="",$E542=""),"",$E542*$F542)</f>
        <v/>
      </c>
      <c r="H542" s="21" t="str">
        <f aca="false">IF(AND($D542="Sortie",$B542&lt;&gt;"",$E542&lt;&gt;""),IFERROR($E542*INDEX(Produits!$E$5:$E$204,MATCH($B542,Produits!$A$5:$A$204,0)),""),"")</f>
        <v/>
      </c>
      <c r="I542" s="23"/>
    </row>
    <row r="543" customFormat="false" ht="15" hidden="false" customHeight="false" outlineLevel="0" collapsed="false">
      <c r="A543" s="27"/>
      <c r="B543" s="23"/>
      <c r="C543" s="26" t="str">
        <f aca="false">IF($B543="","",IFERROR(INDEX(Produits!$B$5:$B$204,MATCH($B543,Produits!$A$5:$A$204,0)),"Code inconnu"))</f>
        <v/>
      </c>
      <c r="D543" s="23"/>
      <c r="E543" s="24"/>
      <c r="F543" s="21" t="str">
        <f aca="false">IF(OR($B543="",$D543=""),"",IFERROR(IF($D543="Entrée",INDEX(Produits!$E$5:$E$204,MATCH($B543,Produits!$A$5:$A$204,0)),INDEX(Produits!$F$5:$F$204,MATCH($B543,Produits!$A$5:$A$204,0))),""))</f>
        <v/>
      </c>
      <c r="G543" s="21" t="str">
        <f aca="false">IF(OR($F543="",$E543=""),"",$E543*$F543)</f>
        <v/>
      </c>
      <c r="H543" s="21" t="str">
        <f aca="false">IF(AND($D543="Sortie",$B543&lt;&gt;"",$E543&lt;&gt;""),IFERROR($E543*INDEX(Produits!$E$5:$E$204,MATCH($B543,Produits!$A$5:$A$204,0)),""),"")</f>
        <v/>
      </c>
      <c r="I543" s="23"/>
    </row>
    <row r="544" customFormat="false" ht="15" hidden="false" customHeight="false" outlineLevel="0" collapsed="false">
      <c r="A544" s="27"/>
      <c r="B544" s="23"/>
      <c r="C544" s="26" t="str">
        <f aca="false">IF($B544="","",IFERROR(INDEX(Produits!$B$5:$B$204,MATCH($B544,Produits!$A$5:$A$204,0)),"Code inconnu"))</f>
        <v/>
      </c>
      <c r="D544" s="23"/>
      <c r="E544" s="24"/>
      <c r="F544" s="21" t="str">
        <f aca="false">IF(OR($B544="",$D544=""),"",IFERROR(IF($D544="Entrée",INDEX(Produits!$E$5:$E$204,MATCH($B544,Produits!$A$5:$A$204,0)),INDEX(Produits!$F$5:$F$204,MATCH($B544,Produits!$A$5:$A$204,0))),""))</f>
        <v/>
      </c>
      <c r="G544" s="21" t="str">
        <f aca="false">IF(OR($F544="",$E544=""),"",$E544*$F544)</f>
        <v/>
      </c>
      <c r="H544" s="21" t="str">
        <f aca="false">IF(AND($D544="Sortie",$B544&lt;&gt;"",$E544&lt;&gt;""),IFERROR($E544*INDEX(Produits!$E$5:$E$204,MATCH($B544,Produits!$A$5:$A$204,0)),""),"")</f>
        <v/>
      </c>
      <c r="I544" s="23"/>
    </row>
    <row r="545" customFormat="false" ht="15" hidden="false" customHeight="false" outlineLevel="0" collapsed="false">
      <c r="A545" s="27"/>
      <c r="B545" s="23"/>
      <c r="C545" s="26" t="str">
        <f aca="false">IF($B545="","",IFERROR(INDEX(Produits!$B$5:$B$204,MATCH($B545,Produits!$A$5:$A$204,0)),"Code inconnu"))</f>
        <v/>
      </c>
      <c r="D545" s="23"/>
      <c r="E545" s="24"/>
      <c r="F545" s="21" t="str">
        <f aca="false">IF(OR($B545="",$D545=""),"",IFERROR(IF($D545="Entrée",INDEX(Produits!$E$5:$E$204,MATCH($B545,Produits!$A$5:$A$204,0)),INDEX(Produits!$F$5:$F$204,MATCH($B545,Produits!$A$5:$A$204,0))),""))</f>
        <v/>
      </c>
      <c r="G545" s="21" t="str">
        <f aca="false">IF(OR($F545="",$E545=""),"",$E545*$F545)</f>
        <v/>
      </c>
      <c r="H545" s="21" t="str">
        <f aca="false">IF(AND($D545="Sortie",$B545&lt;&gt;"",$E545&lt;&gt;""),IFERROR($E545*INDEX(Produits!$E$5:$E$204,MATCH($B545,Produits!$A$5:$A$204,0)),""),"")</f>
        <v/>
      </c>
      <c r="I545" s="23"/>
    </row>
    <row r="546" customFormat="false" ht="15" hidden="false" customHeight="false" outlineLevel="0" collapsed="false">
      <c r="A546" s="27"/>
      <c r="B546" s="23"/>
      <c r="C546" s="26" t="str">
        <f aca="false">IF($B546="","",IFERROR(INDEX(Produits!$B$5:$B$204,MATCH($B546,Produits!$A$5:$A$204,0)),"Code inconnu"))</f>
        <v/>
      </c>
      <c r="D546" s="23"/>
      <c r="E546" s="24"/>
      <c r="F546" s="21" t="str">
        <f aca="false">IF(OR($B546="",$D546=""),"",IFERROR(IF($D546="Entrée",INDEX(Produits!$E$5:$E$204,MATCH($B546,Produits!$A$5:$A$204,0)),INDEX(Produits!$F$5:$F$204,MATCH($B546,Produits!$A$5:$A$204,0))),""))</f>
        <v/>
      </c>
      <c r="G546" s="21" t="str">
        <f aca="false">IF(OR($F546="",$E546=""),"",$E546*$F546)</f>
        <v/>
      </c>
      <c r="H546" s="21" t="str">
        <f aca="false">IF(AND($D546="Sortie",$B546&lt;&gt;"",$E546&lt;&gt;""),IFERROR($E546*INDEX(Produits!$E$5:$E$204,MATCH($B546,Produits!$A$5:$A$204,0)),""),"")</f>
        <v/>
      </c>
      <c r="I546" s="23"/>
    </row>
    <row r="547" customFormat="false" ht="15" hidden="false" customHeight="false" outlineLevel="0" collapsed="false">
      <c r="A547" s="27"/>
      <c r="B547" s="23"/>
      <c r="C547" s="26" t="str">
        <f aca="false">IF($B547="","",IFERROR(INDEX(Produits!$B$5:$B$204,MATCH($B547,Produits!$A$5:$A$204,0)),"Code inconnu"))</f>
        <v/>
      </c>
      <c r="D547" s="23"/>
      <c r="E547" s="24"/>
      <c r="F547" s="21" t="str">
        <f aca="false">IF(OR($B547="",$D547=""),"",IFERROR(IF($D547="Entrée",INDEX(Produits!$E$5:$E$204,MATCH($B547,Produits!$A$5:$A$204,0)),INDEX(Produits!$F$5:$F$204,MATCH($B547,Produits!$A$5:$A$204,0))),""))</f>
        <v/>
      </c>
      <c r="G547" s="21" t="str">
        <f aca="false">IF(OR($F547="",$E547=""),"",$E547*$F547)</f>
        <v/>
      </c>
      <c r="H547" s="21" t="str">
        <f aca="false">IF(AND($D547="Sortie",$B547&lt;&gt;"",$E547&lt;&gt;""),IFERROR($E547*INDEX(Produits!$E$5:$E$204,MATCH($B547,Produits!$A$5:$A$204,0)),""),"")</f>
        <v/>
      </c>
      <c r="I547" s="23"/>
    </row>
    <row r="548" customFormat="false" ht="15" hidden="false" customHeight="false" outlineLevel="0" collapsed="false">
      <c r="A548" s="27"/>
      <c r="B548" s="23"/>
      <c r="C548" s="26" t="str">
        <f aca="false">IF($B548="","",IFERROR(INDEX(Produits!$B$5:$B$204,MATCH($B548,Produits!$A$5:$A$204,0)),"Code inconnu"))</f>
        <v/>
      </c>
      <c r="D548" s="23"/>
      <c r="E548" s="24"/>
      <c r="F548" s="21" t="str">
        <f aca="false">IF(OR($B548="",$D548=""),"",IFERROR(IF($D548="Entrée",INDEX(Produits!$E$5:$E$204,MATCH($B548,Produits!$A$5:$A$204,0)),INDEX(Produits!$F$5:$F$204,MATCH($B548,Produits!$A$5:$A$204,0))),""))</f>
        <v/>
      </c>
      <c r="G548" s="21" t="str">
        <f aca="false">IF(OR($F548="",$E548=""),"",$E548*$F548)</f>
        <v/>
      </c>
      <c r="H548" s="21" t="str">
        <f aca="false">IF(AND($D548="Sortie",$B548&lt;&gt;"",$E548&lt;&gt;""),IFERROR($E548*INDEX(Produits!$E$5:$E$204,MATCH($B548,Produits!$A$5:$A$204,0)),""),"")</f>
        <v/>
      </c>
      <c r="I548" s="23"/>
    </row>
    <row r="549" customFormat="false" ht="15" hidden="false" customHeight="false" outlineLevel="0" collapsed="false">
      <c r="A549" s="27"/>
      <c r="B549" s="23"/>
      <c r="C549" s="26" t="str">
        <f aca="false">IF($B549="","",IFERROR(INDEX(Produits!$B$5:$B$204,MATCH($B549,Produits!$A$5:$A$204,0)),"Code inconnu"))</f>
        <v/>
      </c>
      <c r="D549" s="23"/>
      <c r="E549" s="24"/>
      <c r="F549" s="21" t="str">
        <f aca="false">IF(OR($B549="",$D549=""),"",IFERROR(IF($D549="Entrée",INDEX(Produits!$E$5:$E$204,MATCH($B549,Produits!$A$5:$A$204,0)),INDEX(Produits!$F$5:$F$204,MATCH($B549,Produits!$A$5:$A$204,0))),""))</f>
        <v/>
      </c>
      <c r="G549" s="21" t="str">
        <f aca="false">IF(OR($F549="",$E549=""),"",$E549*$F549)</f>
        <v/>
      </c>
      <c r="H549" s="21" t="str">
        <f aca="false">IF(AND($D549="Sortie",$B549&lt;&gt;"",$E549&lt;&gt;""),IFERROR($E549*INDEX(Produits!$E$5:$E$204,MATCH($B549,Produits!$A$5:$A$204,0)),""),"")</f>
        <v/>
      </c>
      <c r="I549" s="23"/>
    </row>
    <row r="550" customFormat="false" ht="15" hidden="false" customHeight="false" outlineLevel="0" collapsed="false">
      <c r="A550" s="27"/>
      <c r="B550" s="23"/>
      <c r="C550" s="26" t="str">
        <f aca="false">IF($B550="","",IFERROR(INDEX(Produits!$B$5:$B$204,MATCH($B550,Produits!$A$5:$A$204,0)),"Code inconnu"))</f>
        <v/>
      </c>
      <c r="D550" s="23"/>
      <c r="E550" s="24"/>
      <c r="F550" s="21" t="str">
        <f aca="false">IF(OR($B550="",$D550=""),"",IFERROR(IF($D550="Entrée",INDEX(Produits!$E$5:$E$204,MATCH($B550,Produits!$A$5:$A$204,0)),INDEX(Produits!$F$5:$F$204,MATCH($B550,Produits!$A$5:$A$204,0))),""))</f>
        <v/>
      </c>
      <c r="G550" s="21" t="str">
        <f aca="false">IF(OR($F550="",$E550=""),"",$E550*$F550)</f>
        <v/>
      </c>
      <c r="H550" s="21" t="str">
        <f aca="false">IF(AND($D550="Sortie",$B550&lt;&gt;"",$E550&lt;&gt;""),IFERROR($E550*INDEX(Produits!$E$5:$E$204,MATCH($B550,Produits!$A$5:$A$204,0)),""),"")</f>
        <v/>
      </c>
      <c r="I550" s="23"/>
    </row>
    <row r="551" customFormat="false" ht="15" hidden="false" customHeight="false" outlineLevel="0" collapsed="false">
      <c r="A551" s="27"/>
      <c r="B551" s="23"/>
      <c r="C551" s="26" t="str">
        <f aca="false">IF($B551="","",IFERROR(INDEX(Produits!$B$5:$B$204,MATCH($B551,Produits!$A$5:$A$204,0)),"Code inconnu"))</f>
        <v/>
      </c>
      <c r="D551" s="23"/>
      <c r="E551" s="24"/>
      <c r="F551" s="21" t="str">
        <f aca="false">IF(OR($B551="",$D551=""),"",IFERROR(IF($D551="Entrée",INDEX(Produits!$E$5:$E$204,MATCH($B551,Produits!$A$5:$A$204,0)),INDEX(Produits!$F$5:$F$204,MATCH($B551,Produits!$A$5:$A$204,0))),""))</f>
        <v/>
      </c>
      <c r="G551" s="21" t="str">
        <f aca="false">IF(OR($F551="",$E551=""),"",$E551*$F551)</f>
        <v/>
      </c>
      <c r="H551" s="21" t="str">
        <f aca="false">IF(AND($D551="Sortie",$B551&lt;&gt;"",$E551&lt;&gt;""),IFERROR($E551*INDEX(Produits!$E$5:$E$204,MATCH($B551,Produits!$A$5:$A$204,0)),""),"")</f>
        <v/>
      </c>
      <c r="I551" s="23"/>
    </row>
    <row r="552" customFormat="false" ht="15" hidden="false" customHeight="false" outlineLevel="0" collapsed="false">
      <c r="A552" s="27"/>
      <c r="B552" s="23"/>
      <c r="C552" s="26" t="str">
        <f aca="false">IF($B552="","",IFERROR(INDEX(Produits!$B$5:$B$204,MATCH($B552,Produits!$A$5:$A$204,0)),"Code inconnu"))</f>
        <v/>
      </c>
      <c r="D552" s="23"/>
      <c r="E552" s="24"/>
      <c r="F552" s="21" t="str">
        <f aca="false">IF(OR($B552="",$D552=""),"",IFERROR(IF($D552="Entrée",INDEX(Produits!$E$5:$E$204,MATCH($B552,Produits!$A$5:$A$204,0)),INDEX(Produits!$F$5:$F$204,MATCH($B552,Produits!$A$5:$A$204,0))),""))</f>
        <v/>
      </c>
      <c r="G552" s="21" t="str">
        <f aca="false">IF(OR($F552="",$E552=""),"",$E552*$F552)</f>
        <v/>
      </c>
      <c r="H552" s="21" t="str">
        <f aca="false">IF(AND($D552="Sortie",$B552&lt;&gt;"",$E552&lt;&gt;""),IFERROR($E552*INDEX(Produits!$E$5:$E$204,MATCH($B552,Produits!$A$5:$A$204,0)),""),"")</f>
        <v/>
      </c>
      <c r="I552" s="23"/>
    </row>
    <row r="553" customFormat="false" ht="15" hidden="false" customHeight="false" outlineLevel="0" collapsed="false">
      <c r="A553" s="27"/>
      <c r="B553" s="23"/>
      <c r="C553" s="26" t="str">
        <f aca="false">IF($B553="","",IFERROR(INDEX(Produits!$B$5:$B$204,MATCH($B553,Produits!$A$5:$A$204,0)),"Code inconnu"))</f>
        <v/>
      </c>
      <c r="D553" s="23"/>
      <c r="E553" s="24"/>
      <c r="F553" s="21" t="str">
        <f aca="false">IF(OR($B553="",$D553=""),"",IFERROR(IF($D553="Entrée",INDEX(Produits!$E$5:$E$204,MATCH($B553,Produits!$A$5:$A$204,0)),INDEX(Produits!$F$5:$F$204,MATCH($B553,Produits!$A$5:$A$204,0))),""))</f>
        <v/>
      </c>
      <c r="G553" s="21" t="str">
        <f aca="false">IF(OR($F553="",$E553=""),"",$E553*$F553)</f>
        <v/>
      </c>
      <c r="H553" s="21" t="str">
        <f aca="false">IF(AND($D553="Sortie",$B553&lt;&gt;"",$E553&lt;&gt;""),IFERROR($E553*INDEX(Produits!$E$5:$E$204,MATCH($B553,Produits!$A$5:$A$204,0)),""),"")</f>
        <v/>
      </c>
      <c r="I553" s="23"/>
    </row>
    <row r="554" customFormat="false" ht="15" hidden="false" customHeight="false" outlineLevel="0" collapsed="false">
      <c r="A554" s="27"/>
      <c r="B554" s="23"/>
      <c r="C554" s="26" t="str">
        <f aca="false">IF($B554="","",IFERROR(INDEX(Produits!$B$5:$B$204,MATCH($B554,Produits!$A$5:$A$204,0)),"Code inconnu"))</f>
        <v/>
      </c>
      <c r="D554" s="23"/>
      <c r="E554" s="24"/>
      <c r="F554" s="21" t="str">
        <f aca="false">IF(OR($B554="",$D554=""),"",IFERROR(IF($D554="Entrée",INDEX(Produits!$E$5:$E$204,MATCH($B554,Produits!$A$5:$A$204,0)),INDEX(Produits!$F$5:$F$204,MATCH($B554,Produits!$A$5:$A$204,0))),""))</f>
        <v/>
      </c>
      <c r="G554" s="21" t="str">
        <f aca="false">IF(OR($F554="",$E554=""),"",$E554*$F554)</f>
        <v/>
      </c>
      <c r="H554" s="21" t="str">
        <f aca="false">IF(AND($D554="Sortie",$B554&lt;&gt;"",$E554&lt;&gt;""),IFERROR($E554*INDEX(Produits!$E$5:$E$204,MATCH($B554,Produits!$A$5:$A$204,0)),""),"")</f>
        <v/>
      </c>
      <c r="I554" s="23"/>
    </row>
    <row r="555" customFormat="false" ht="15" hidden="false" customHeight="false" outlineLevel="0" collapsed="false">
      <c r="A555" s="27"/>
      <c r="B555" s="23"/>
      <c r="C555" s="26" t="str">
        <f aca="false">IF($B555="","",IFERROR(INDEX(Produits!$B$5:$B$204,MATCH($B555,Produits!$A$5:$A$204,0)),"Code inconnu"))</f>
        <v/>
      </c>
      <c r="D555" s="23"/>
      <c r="E555" s="24"/>
      <c r="F555" s="21" t="str">
        <f aca="false">IF(OR($B555="",$D555=""),"",IFERROR(IF($D555="Entrée",INDEX(Produits!$E$5:$E$204,MATCH($B555,Produits!$A$5:$A$204,0)),INDEX(Produits!$F$5:$F$204,MATCH($B555,Produits!$A$5:$A$204,0))),""))</f>
        <v/>
      </c>
      <c r="G555" s="21" t="str">
        <f aca="false">IF(OR($F555="",$E555=""),"",$E555*$F555)</f>
        <v/>
      </c>
      <c r="H555" s="21" t="str">
        <f aca="false">IF(AND($D555="Sortie",$B555&lt;&gt;"",$E555&lt;&gt;""),IFERROR($E555*INDEX(Produits!$E$5:$E$204,MATCH($B555,Produits!$A$5:$A$204,0)),""),"")</f>
        <v/>
      </c>
      <c r="I555" s="23"/>
    </row>
    <row r="556" customFormat="false" ht="15" hidden="false" customHeight="false" outlineLevel="0" collapsed="false">
      <c r="A556" s="27"/>
      <c r="B556" s="23"/>
      <c r="C556" s="26" t="str">
        <f aca="false">IF($B556="","",IFERROR(INDEX(Produits!$B$5:$B$204,MATCH($B556,Produits!$A$5:$A$204,0)),"Code inconnu"))</f>
        <v/>
      </c>
      <c r="D556" s="23"/>
      <c r="E556" s="24"/>
      <c r="F556" s="21" t="str">
        <f aca="false">IF(OR($B556="",$D556=""),"",IFERROR(IF($D556="Entrée",INDEX(Produits!$E$5:$E$204,MATCH($B556,Produits!$A$5:$A$204,0)),INDEX(Produits!$F$5:$F$204,MATCH($B556,Produits!$A$5:$A$204,0))),""))</f>
        <v/>
      </c>
      <c r="G556" s="21" t="str">
        <f aca="false">IF(OR($F556="",$E556=""),"",$E556*$F556)</f>
        <v/>
      </c>
      <c r="H556" s="21" t="str">
        <f aca="false">IF(AND($D556="Sortie",$B556&lt;&gt;"",$E556&lt;&gt;""),IFERROR($E556*INDEX(Produits!$E$5:$E$204,MATCH($B556,Produits!$A$5:$A$204,0)),""),"")</f>
        <v/>
      </c>
      <c r="I556" s="23"/>
    </row>
    <row r="557" customFormat="false" ht="15" hidden="false" customHeight="false" outlineLevel="0" collapsed="false">
      <c r="A557" s="27"/>
      <c r="B557" s="23"/>
      <c r="C557" s="26" t="str">
        <f aca="false">IF($B557="","",IFERROR(INDEX(Produits!$B$5:$B$204,MATCH($B557,Produits!$A$5:$A$204,0)),"Code inconnu"))</f>
        <v/>
      </c>
      <c r="D557" s="23"/>
      <c r="E557" s="24"/>
      <c r="F557" s="21" t="str">
        <f aca="false">IF(OR($B557="",$D557=""),"",IFERROR(IF($D557="Entrée",INDEX(Produits!$E$5:$E$204,MATCH($B557,Produits!$A$5:$A$204,0)),INDEX(Produits!$F$5:$F$204,MATCH($B557,Produits!$A$5:$A$204,0))),""))</f>
        <v/>
      </c>
      <c r="G557" s="21" t="str">
        <f aca="false">IF(OR($F557="",$E557=""),"",$E557*$F557)</f>
        <v/>
      </c>
      <c r="H557" s="21" t="str">
        <f aca="false">IF(AND($D557="Sortie",$B557&lt;&gt;"",$E557&lt;&gt;""),IFERROR($E557*INDEX(Produits!$E$5:$E$204,MATCH($B557,Produits!$A$5:$A$204,0)),""),"")</f>
        <v/>
      </c>
      <c r="I557" s="23"/>
    </row>
    <row r="558" customFormat="false" ht="15" hidden="false" customHeight="false" outlineLevel="0" collapsed="false">
      <c r="A558" s="27"/>
      <c r="B558" s="23"/>
      <c r="C558" s="26" t="str">
        <f aca="false">IF($B558="","",IFERROR(INDEX(Produits!$B$5:$B$204,MATCH($B558,Produits!$A$5:$A$204,0)),"Code inconnu"))</f>
        <v/>
      </c>
      <c r="D558" s="23"/>
      <c r="E558" s="24"/>
      <c r="F558" s="21" t="str">
        <f aca="false">IF(OR($B558="",$D558=""),"",IFERROR(IF($D558="Entrée",INDEX(Produits!$E$5:$E$204,MATCH($B558,Produits!$A$5:$A$204,0)),INDEX(Produits!$F$5:$F$204,MATCH($B558,Produits!$A$5:$A$204,0))),""))</f>
        <v/>
      </c>
      <c r="G558" s="21" t="str">
        <f aca="false">IF(OR($F558="",$E558=""),"",$E558*$F558)</f>
        <v/>
      </c>
      <c r="H558" s="21" t="str">
        <f aca="false">IF(AND($D558="Sortie",$B558&lt;&gt;"",$E558&lt;&gt;""),IFERROR($E558*INDEX(Produits!$E$5:$E$204,MATCH($B558,Produits!$A$5:$A$204,0)),""),"")</f>
        <v/>
      </c>
      <c r="I558" s="23"/>
    </row>
    <row r="559" customFormat="false" ht="15" hidden="false" customHeight="false" outlineLevel="0" collapsed="false">
      <c r="A559" s="27"/>
      <c r="B559" s="23"/>
      <c r="C559" s="26" t="str">
        <f aca="false">IF($B559="","",IFERROR(INDEX(Produits!$B$5:$B$204,MATCH($B559,Produits!$A$5:$A$204,0)),"Code inconnu"))</f>
        <v/>
      </c>
      <c r="D559" s="23"/>
      <c r="E559" s="24"/>
      <c r="F559" s="21" t="str">
        <f aca="false">IF(OR($B559="",$D559=""),"",IFERROR(IF($D559="Entrée",INDEX(Produits!$E$5:$E$204,MATCH($B559,Produits!$A$5:$A$204,0)),INDEX(Produits!$F$5:$F$204,MATCH($B559,Produits!$A$5:$A$204,0))),""))</f>
        <v/>
      </c>
      <c r="G559" s="21" t="str">
        <f aca="false">IF(OR($F559="",$E559=""),"",$E559*$F559)</f>
        <v/>
      </c>
      <c r="H559" s="21" t="str">
        <f aca="false">IF(AND($D559="Sortie",$B559&lt;&gt;"",$E559&lt;&gt;""),IFERROR($E559*INDEX(Produits!$E$5:$E$204,MATCH($B559,Produits!$A$5:$A$204,0)),""),"")</f>
        <v/>
      </c>
      <c r="I559" s="23"/>
    </row>
    <row r="560" customFormat="false" ht="15" hidden="false" customHeight="false" outlineLevel="0" collapsed="false">
      <c r="A560" s="27"/>
      <c r="B560" s="23"/>
      <c r="C560" s="26" t="str">
        <f aca="false">IF($B560="","",IFERROR(INDEX(Produits!$B$5:$B$204,MATCH($B560,Produits!$A$5:$A$204,0)),"Code inconnu"))</f>
        <v/>
      </c>
      <c r="D560" s="23"/>
      <c r="E560" s="24"/>
      <c r="F560" s="21" t="str">
        <f aca="false">IF(OR($B560="",$D560=""),"",IFERROR(IF($D560="Entrée",INDEX(Produits!$E$5:$E$204,MATCH($B560,Produits!$A$5:$A$204,0)),INDEX(Produits!$F$5:$F$204,MATCH($B560,Produits!$A$5:$A$204,0))),""))</f>
        <v/>
      </c>
      <c r="G560" s="21" t="str">
        <f aca="false">IF(OR($F560="",$E560=""),"",$E560*$F560)</f>
        <v/>
      </c>
      <c r="H560" s="21" t="str">
        <f aca="false">IF(AND($D560="Sortie",$B560&lt;&gt;"",$E560&lt;&gt;""),IFERROR($E560*INDEX(Produits!$E$5:$E$204,MATCH($B560,Produits!$A$5:$A$204,0)),""),"")</f>
        <v/>
      </c>
      <c r="I560" s="23"/>
    </row>
    <row r="561" customFormat="false" ht="15" hidden="false" customHeight="false" outlineLevel="0" collapsed="false">
      <c r="A561" s="27"/>
      <c r="B561" s="23"/>
      <c r="C561" s="26" t="str">
        <f aca="false">IF($B561="","",IFERROR(INDEX(Produits!$B$5:$B$204,MATCH($B561,Produits!$A$5:$A$204,0)),"Code inconnu"))</f>
        <v/>
      </c>
      <c r="D561" s="23"/>
      <c r="E561" s="24"/>
      <c r="F561" s="21" t="str">
        <f aca="false">IF(OR($B561="",$D561=""),"",IFERROR(IF($D561="Entrée",INDEX(Produits!$E$5:$E$204,MATCH($B561,Produits!$A$5:$A$204,0)),INDEX(Produits!$F$5:$F$204,MATCH($B561,Produits!$A$5:$A$204,0))),""))</f>
        <v/>
      </c>
      <c r="G561" s="21" t="str">
        <f aca="false">IF(OR($F561="",$E561=""),"",$E561*$F561)</f>
        <v/>
      </c>
      <c r="H561" s="21" t="str">
        <f aca="false">IF(AND($D561="Sortie",$B561&lt;&gt;"",$E561&lt;&gt;""),IFERROR($E561*INDEX(Produits!$E$5:$E$204,MATCH($B561,Produits!$A$5:$A$204,0)),""),"")</f>
        <v/>
      </c>
      <c r="I561" s="23"/>
    </row>
    <row r="562" customFormat="false" ht="15" hidden="false" customHeight="false" outlineLevel="0" collapsed="false">
      <c r="A562" s="27"/>
      <c r="B562" s="23"/>
      <c r="C562" s="26" t="str">
        <f aca="false">IF($B562="","",IFERROR(INDEX(Produits!$B$5:$B$204,MATCH($B562,Produits!$A$5:$A$204,0)),"Code inconnu"))</f>
        <v/>
      </c>
      <c r="D562" s="23"/>
      <c r="E562" s="24"/>
      <c r="F562" s="21" t="str">
        <f aca="false">IF(OR($B562="",$D562=""),"",IFERROR(IF($D562="Entrée",INDEX(Produits!$E$5:$E$204,MATCH($B562,Produits!$A$5:$A$204,0)),INDEX(Produits!$F$5:$F$204,MATCH($B562,Produits!$A$5:$A$204,0))),""))</f>
        <v/>
      </c>
      <c r="G562" s="21" t="str">
        <f aca="false">IF(OR($F562="",$E562=""),"",$E562*$F562)</f>
        <v/>
      </c>
      <c r="H562" s="21" t="str">
        <f aca="false">IF(AND($D562="Sortie",$B562&lt;&gt;"",$E562&lt;&gt;""),IFERROR($E562*INDEX(Produits!$E$5:$E$204,MATCH($B562,Produits!$A$5:$A$204,0)),""),"")</f>
        <v/>
      </c>
      <c r="I562" s="23"/>
    </row>
    <row r="563" customFormat="false" ht="15" hidden="false" customHeight="false" outlineLevel="0" collapsed="false">
      <c r="A563" s="27"/>
      <c r="B563" s="23"/>
      <c r="C563" s="26" t="str">
        <f aca="false">IF($B563="","",IFERROR(INDEX(Produits!$B$5:$B$204,MATCH($B563,Produits!$A$5:$A$204,0)),"Code inconnu"))</f>
        <v/>
      </c>
      <c r="D563" s="23"/>
      <c r="E563" s="24"/>
      <c r="F563" s="21" t="str">
        <f aca="false">IF(OR($B563="",$D563=""),"",IFERROR(IF($D563="Entrée",INDEX(Produits!$E$5:$E$204,MATCH($B563,Produits!$A$5:$A$204,0)),INDEX(Produits!$F$5:$F$204,MATCH($B563,Produits!$A$5:$A$204,0))),""))</f>
        <v/>
      </c>
      <c r="G563" s="21" t="str">
        <f aca="false">IF(OR($F563="",$E563=""),"",$E563*$F563)</f>
        <v/>
      </c>
      <c r="H563" s="21" t="str">
        <f aca="false">IF(AND($D563="Sortie",$B563&lt;&gt;"",$E563&lt;&gt;""),IFERROR($E563*INDEX(Produits!$E$5:$E$204,MATCH($B563,Produits!$A$5:$A$204,0)),""),"")</f>
        <v/>
      </c>
      <c r="I563" s="23"/>
    </row>
    <row r="564" customFormat="false" ht="15" hidden="false" customHeight="false" outlineLevel="0" collapsed="false">
      <c r="A564" s="27"/>
      <c r="B564" s="23"/>
      <c r="C564" s="26" t="str">
        <f aca="false">IF($B564="","",IFERROR(INDEX(Produits!$B$5:$B$204,MATCH($B564,Produits!$A$5:$A$204,0)),"Code inconnu"))</f>
        <v/>
      </c>
      <c r="D564" s="23"/>
      <c r="E564" s="24"/>
      <c r="F564" s="21" t="str">
        <f aca="false">IF(OR($B564="",$D564=""),"",IFERROR(IF($D564="Entrée",INDEX(Produits!$E$5:$E$204,MATCH($B564,Produits!$A$5:$A$204,0)),INDEX(Produits!$F$5:$F$204,MATCH($B564,Produits!$A$5:$A$204,0))),""))</f>
        <v/>
      </c>
      <c r="G564" s="21" t="str">
        <f aca="false">IF(OR($F564="",$E564=""),"",$E564*$F564)</f>
        <v/>
      </c>
      <c r="H564" s="21" t="str">
        <f aca="false">IF(AND($D564="Sortie",$B564&lt;&gt;"",$E564&lt;&gt;""),IFERROR($E564*INDEX(Produits!$E$5:$E$204,MATCH($B564,Produits!$A$5:$A$204,0)),""),"")</f>
        <v/>
      </c>
      <c r="I564" s="23"/>
    </row>
    <row r="565" customFormat="false" ht="15" hidden="false" customHeight="false" outlineLevel="0" collapsed="false">
      <c r="A565" s="27"/>
      <c r="B565" s="23"/>
      <c r="C565" s="26" t="str">
        <f aca="false">IF($B565="","",IFERROR(INDEX(Produits!$B$5:$B$204,MATCH($B565,Produits!$A$5:$A$204,0)),"Code inconnu"))</f>
        <v/>
      </c>
      <c r="D565" s="23"/>
      <c r="E565" s="24"/>
      <c r="F565" s="21" t="str">
        <f aca="false">IF(OR($B565="",$D565=""),"",IFERROR(IF($D565="Entrée",INDEX(Produits!$E$5:$E$204,MATCH($B565,Produits!$A$5:$A$204,0)),INDEX(Produits!$F$5:$F$204,MATCH($B565,Produits!$A$5:$A$204,0))),""))</f>
        <v/>
      </c>
      <c r="G565" s="21" t="str">
        <f aca="false">IF(OR($F565="",$E565=""),"",$E565*$F565)</f>
        <v/>
      </c>
      <c r="H565" s="21" t="str">
        <f aca="false">IF(AND($D565="Sortie",$B565&lt;&gt;"",$E565&lt;&gt;""),IFERROR($E565*INDEX(Produits!$E$5:$E$204,MATCH($B565,Produits!$A$5:$A$204,0)),""),"")</f>
        <v/>
      </c>
      <c r="I565" s="23"/>
    </row>
    <row r="566" customFormat="false" ht="15" hidden="false" customHeight="false" outlineLevel="0" collapsed="false">
      <c r="A566" s="27"/>
      <c r="B566" s="23"/>
      <c r="C566" s="26" t="str">
        <f aca="false">IF($B566="","",IFERROR(INDEX(Produits!$B$5:$B$204,MATCH($B566,Produits!$A$5:$A$204,0)),"Code inconnu"))</f>
        <v/>
      </c>
      <c r="D566" s="23"/>
      <c r="E566" s="24"/>
      <c r="F566" s="21" t="str">
        <f aca="false">IF(OR($B566="",$D566=""),"",IFERROR(IF($D566="Entrée",INDEX(Produits!$E$5:$E$204,MATCH($B566,Produits!$A$5:$A$204,0)),INDEX(Produits!$F$5:$F$204,MATCH($B566,Produits!$A$5:$A$204,0))),""))</f>
        <v/>
      </c>
      <c r="G566" s="21" t="str">
        <f aca="false">IF(OR($F566="",$E566=""),"",$E566*$F566)</f>
        <v/>
      </c>
      <c r="H566" s="21" t="str">
        <f aca="false">IF(AND($D566="Sortie",$B566&lt;&gt;"",$E566&lt;&gt;""),IFERROR($E566*INDEX(Produits!$E$5:$E$204,MATCH($B566,Produits!$A$5:$A$204,0)),""),"")</f>
        <v/>
      </c>
      <c r="I566" s="23"/>
    </row>
    <row r="567" customFormat="false" ht="15" hidden="false" customHeight="false" outlineLevel="0" collapsed="false">
      <c r="A567" s="27"/>
      <c r="B567" s="23"/>
      <c r="C567" s="26" t="str">
        <f aca="false">IF($B567="","",IFERROR(INDEX(Produits!$B$5:$B$204,MATCH($B567,Produits!$A$5:$A$204,0)),"Code inconnu"))</f>
        <v/>
      </c>
      <c r="D567" s="23"/>
      <c r="E567" s="24"/>
      <c r="F567" s="21" t="str">
        <f aca="false">IF(OR($B567="",$D567=""),"",IFERROR(IF($D567="Entrée",INDEX(Produits!$E$5:$E$204,MATCH($B567,Produits!$A$5:$A$204,0)),INDEX(Produits!$F$5:$F$204,MATCH($B567,Produits!$A$5:$A$204,0))),""))</f>
        <v/>
      </c>
      <c r="G567" s="21" t="str">
        <f aca="false">IF(OR($F567="",$E567=""),"",$E567*$F567)</f>
        <v/>
      </c>
      <c r="H567" s="21" t="str">
        <f aca="false">IF(AND($D567="Sortie",$B567&lt;&gt;"",$E567&lt;&gt;""),IFERROR($E567*INDEX(Produits!$E$5:$E$204,MATCH($B567,Produits!$A$5:$A$204,0)),""),"")</f>
        <v/>
      </c>
      <c r="I567" s="23"/>
    </row>
    <row r="568" customFormat="false" ht="15" hidden="false" customHeight="false" outlineLevel="0" collapsed="false">
      <c r="A568" s="27"/>
      <c r="B568" s="23"/>
      <c r="C568" s="26" t="str">
        <f aca="false">IF($B568="","",IFERROR(INDEX(Produits!$B$5:$B$204,MATCH($B568,Produits!$A$5:$A$204,0)),"Code inconnu"))</f>
        <v/>
      </c>
      <c r="D568" s="23"/>
      <c r="E568" s="24"/>
      <c r="F568" s="21" t="str">
        <f aca="false">IF(OR($B568="",$D568=""),"",IFERROR(IF($D568="Entrée",INDEX(Produits!$E$5:$E$204,MATCH($B568,Produits!$A$5:$A$204,0)),INDEX(Produits!$F$5:$F$204,MATCH($B568,Produits!$A$5:$A$204,0))),""))</f>
        <v/>
      </c>
      <c r="G568" s="21" t="str">
        <f aca="false">IF(OR($F568="",$E568=""),"",$E568*$F568)</f>
        <v/>
      </c>
      <c r="H568" s="21" t="str">
        <f aca="false">IF(AND($D568="Sortie",$B568&lt;&gt;"",$E568&lt;&gt;""),IFERROR($E568*INDEX(Produits!$E$5:$E$204,MATCH($B568,Produits!$A$5:$A$204,0)),""),"")</f>
        <v/>
      </c>
      <c r="I568" s="23"/>
    </row>
    <row r="569" customFormat="false" ht="15" hidden="false" customHeight="false" outlineLevel="0" collapsed="false">
      <c r="A569" s="27"/>
      <c r="B569" s="23"/>
      <c r="C569" s="26" t="str">
        <f aca="false">IF($B569="","",IFERROR(INDEX(Produits!$B$5:$B$204,MATCH($B569,Produits!$A$5:$A$204,0)),"Code inconnu"))</f>
        <v/>
      </c>
      <c r="D569" s="23"/>
      <c r="E569" s="24"/>
      <c r="F569" s="21" t="str">
        <f aca="false">IF(OR($B569="",$D569=""),"",IFERROR(IF($D569="Entrée",INDEX(Produits!$E$5:$E$204,MATCH($B569,Produits!$A$5:$A$204,0)),INDEX(Produits!$F$5:$F$204,MATCH($B569,Produits!$A$5:$A$204,0))),""))</f>
        <v/>
      </c>
      <c r="G569" s="21" t="str">
        <f aca="false">IF(OR($F569="",$E569=""),"",$E569*$F569)</f>
        <v/>
      </c>
      <c r="H569" s="21" t="str">
        <f aca="false">IF(AND($D569="Sortie",$B569&lt;&gt;"",$E569&lt;&gt;""),IFERROR($E569*INDEX(Produits!$E$5:$E$204,MATCH($B569,Produits!$A$5:$A$204,0)),""),"")</f>
        <v/>
      </c>
      <c r="I569" s="23"/>
    </row>
    <row r="570" customFormat="false" ht="15" hidden="false" customHeight="false" outlineLevel="0" collapsed="false">
      <c r="A570" s="27"/>
      <c r="B570" s="23"/>
      <c r="C570" s="26" t="str">
        <f aca="false">IF($B570="","",IFERROR(INDEX(Produits!$B$5:$B$204,MATCH($B570,Produits!$A$5:$A$204,0)),"Code inconnu"))</f>
        <v/>
      </c>
      <c r="D570" s="23"/>
      <c r="E570" s="24"/>
      <c r="F570" s="21" t="str">
        <f aca="false">IF(OR($B570="",$D570=""),"",IFERROR(IF($D570="Entrée",INDEX(Produits!$E$5:$E$204,MATCH($B570,Produits!$A$5:$A$204,0)),INDEX(Produits!$F$5:$F$204,MATCH($B570,Produits!$A$5:$A$204,0))),""))</f>
        <v/>
      </c>
      <c r="G570" s="21" t="str">
        <f aca="false">IF(OR($F570="",$E570=""),"",$E570*$F570)</f>
        <v/>
      </c>
      <c r="H570" s="21" t="str">
        <f aca="false">IF(AND($D570="Sortie",$B570&lt;&gt;"",$E570&lt;&gt;""),IFERROR($E570*INDEX(Produits!$E$5:$E$204,MATCH($B570,Produits!$A$5:$A$204,0)),""),"")</f>
        <v/>
      </c>
      <c r="I570" s="23"/>
    </row>
    <row r="571" customFormat="false" ht="15" hidden="false" customHeight="false" outlineLevel="0" collapsed="false">
      <c r="A571" s="27"/>
      <c r="B571" s="23"/>
      <c r="C571" s="26" t="str">
        <f aca="false">IF($B571="","",IFERROR(INDEX(Produits!$B$5:$B$204,MATCH($B571,Produits!$A$5:$A$204,0)),"Code inconnu"))</f>
        <v/>
      </c>
      <c r="D571" s="23"/>
      <c r="E571" s="24"/>
      <c r="F571" s="21" t="str">
        <f aca="false">IF(OR($B571="",$D571=""),"",IFERROR(IF($D571="Entrée",INDEX(Produits!$E$5:$E$204,MATCH($B571,Produits!$A$5:$A$204,0)),INDEX(Produits!$F$5:$F$204,MATCH($B571,Produits!$A$5:$A$204,0))),""))</f>
        <v/>
      </c>
      <c r="G571" s="21" t="str">
        <f aca="false">IF(OR($F571="",$E571=""),"",$E571*$F571)</f>
        <v/>
      </c>
      <c r="H571" s="21" t="str">
        <f aca="false">IF(AND($D571="Sortie",$B571&lt;&gt;"",$E571&lt;&gt;""),IFERROR($E571*INDEX(Produits!$E$5:$E$204,MATCH($B571,Produits!$A$5:$A$204,0)),""),"")</f>
        <v/>
      </c>
      <c r="I571" s="23"/>
    </row>
    <row r="572" customFormat="false" ht="15" hidden="false" customHeight="false" outlineLevel="0" collapsed="false">
      <c r="A572" s="27"/>
      <c r="B572" s="23"/>
      <c r="C572" s="26" t="str">
        <f aca="false">IF($B572="","",IFERROR(INDEX(Produits!$B$5:$B$204,MATCH($B572,Produits!$A$5:$A$204,0)),"Code inconnu"))</f>
        <v/>
      </c>
      <c r="D572" s="23"/>
      <c r="E572" s="24"/>
      <c r="F572" s="21" t="str">
        <f aca="false">IF(OR($B572="",$D572=""),"",IFERROR(IF($D572="Entrée",INDEX(Produits!$E$5:$E$204,MATCH($B572,Produits!$A$5:$A$204,0)),INDEX(Produits!$F$5:$F$204,MATCH($B572,Produits!$A$5:$A$204,0))),""))</f>
        <v/>
      </c>
      <c r="G572" s="21" t="str">
        <f aca="false">IF(OR($F572="",$E572=""),"",$E572*$F572)</f>
        <v/>
      </c>
      <c r="H572" s="21" t="str">
        <f aca="false">IF(AND($D572="Sortie",$B572&lt;&gt;"",$E572&lt;&gt;""),IFERROR($E572*INDEX(Produits!$E$5:$E$204,MATCH($B572,Produits!$A$5:$A$204,0)),""),"")</f>
        <v/>
      </c>
      <c r="I572" s="23"/>
    </row>
    <row r="573" customFormat="false" ht="15" hidden="false" customHeight="false" outlineLevel="0" collapsed="false">
      <c r="A573" s="27"/>
      <c r="B573" s="23"/>
      <c r="C573" s="26" t="str">
        <f aca="false">IF($B573="","",IFERROR(INDEX(Produits!$B$5:$B$204,MATCH($B573,Produits!$A$5:$A$204,0)),"Code inconnu"))</f>
        <v/>
      </c>
      <c r="D573" s="23"/>
      <c r="E573" s="24"/>
      <c r="F573" s="21" t="str">
        <f aca="false">IF(OR($B573="",$D573=""),"",IFERROR(IF($D573="Entrée",INDEX(Produits!$E$5:$E$204,MATCH($B573,Produits!$A$5:$A$204,0)),INDEX(Produits!$F$5:$F$204,MATCH($B573,Produits!$A$5:$A$204,0))),""))</f>
        <v/>
      </c>
      <c r="G573" s="21" t="str">
        <f aca="false">IF(OR($F573="",$E573=""),"",$E573*$F573)</f>
        <v/>
      </c>
      <c r="H573" s="21" t="str">
        <f aca="false">IF(AND($D573="Sortie",$B573&lt;&gt;"",$E573&lt;&gt;""),IFERROR($E573*INDEX(Produits!$E$5:$E$204,MATCH($B573,Produits!$A$5:$A$204,0)),""),"")</f>
        <v/>
      </c>
      <c r="I573" s="23"/>
    </row>
    <row r="574" customFormat="false" ht="15" hidden="false" customHeight="false" outlineLevel="0" collapsed="false">
      <c r="A574" s="27"/>
      <c r="B574" s="23"/>
      <c r="C574" s="26" t="str">
        <f aca="false">IF($B574="","",IFERROR(INDEX(Produits!$B$5:$B$204,MATCH($B574,Produits!$A$5:$A$204,0)),"Code inconnu"))</f>
        <v/>
      </c>
      <c r="D574" s="23"/>
      <c r="E574" s="24"/>
      <c r="F574" s="21" t="str">
        <f aca="false">IF(OR($B574="",$D574=""),"",IFERROR(IF($D574="Entrée",INDEX(Produits!$E$5:$E$204,MATCH($B574,Produits!$A$5:$A$204,0)),INDEX(Produits!$F$5:$F$204,MATCH($B574,Produits!$A$5:$A$204,0))),""))</f>
        <v/>
      </c>
      <c r="G574" s="21" t="str">
        <f aca="false">IF(OR($F574="",$E574=""),"",$E574*$F574)</f>
        <v/>
      </c>
      <c r="H574" s="21" t="str">
        <f aca="false">IF(AND($D574="Sortie",$B574&lt;&gt;"",$E574&lt;&gt;""),IFERROR($E574*INDEX(Produits!$E$5:$E$204,MATCH($B574,Produits!$A$5:$A$204,0)),""),"")</f>
        <v/>
      </c>
      <c r="I574" s="23"/>
    </row>
    <row r="575" customFormat="false" ht="15" hidden="false" customHeight="false" outlineLevel="0" collapsed="false">
      <c r="A575" s="27"/>
      <c r="B575" s="23"/>
      <c r="C575" s="26" t="str">
        <f aca="false">IF($B575="","",IFERROR(INDEX(Produits!$B$5:$B$204,MATCH($B575,Produits!$A$5:$A$204,0)),"Code inconnu"))</f>
        <v/>
      </c>
      <c r="D575" s="23"/>
      <c r="E575" s="24"/>
      <c r="F575" s="21" t="str">
        <f aca="false">IF(OR($B575="",$D575=""),"",IFERROR(IF($D575="Entrée",INDEX(Produits!$E$5:$E$204,MATCH($B575,Produits!$A$5:$A$204,0)),INDEX(Produits!$F$5:$F$204,MATCH($B575,Produits!$A$5:$A$204,0))),""))</f>
        <v/>
      </c>
      <c r="G575" s="21" t="str">
        <f aca="false">IF(OR($F575="",$E575=""),"",$E575*$F575)</f>
        <v/>
      </c>
      <c r="H575" s="21" t="str">
        <f aca="false">IF(AND($D575="Sortie",$B575&lt;&gt;"",$E575&lt;&gt;""),IFERROR($E575*INDEX(Produits!$E$5:$E$204,MATCH($B575,Produits!$A$5:$A$204,0)),""),"")</f>
        <v/>
      </c>
      <c r="I575" s="23"/>
    </row>
    <row r="576" customFormat="false" ht="15" hidden="false" customHeight="false" outlineLevel="0" collapsed="false">
      <c r="A576" s="27"/>
      <c r="B576" s="23"/>
      <c r="C576" s="26" t="str">
        <f aca="false">IF($B576="","",IFERROR(INDEX(Produits!$B$5:$B$204,MATCH($B576,Produits!$A$5:$A$204,0)),"Code inconnu"))</f>
        <v/>
      </c>
      <c r="D576" s="23"/>
      <c r="E576" s="24"/>
      <c r="F576" s="21" t="str">
        <f aca="false">IF(OR($B576="",$D576=""),"",IFERROR(IF($D576="Entrée",INDEX(Produits!$E$5:$E$204,MATCH($B576,Produits!$A$5:$A$204,0)),INDEX(Produits!$F$5:$F$204,MATCH($B576,Produits!$A$5:$A$204,0))),""))</f>
        <v/>
      </c>
      <c r="G576" s="21" t="str">
        <f aca="false">IF(OR($F576="",$E576=""),"",$E576*$F576)</f>
        <v/>
      </c>
      <c r="H576" s="21" t="str">
        <f aca="false">IF(AND($D576="Sortie",$B576&lt;&gt;"",$E576&lt;&gt;""),IFERROR($E576*INDEX(Produits!$E$5:$E$204,MATCH($B576,Produits!$A$5:$A$204,0)),""),"")</f>
        <v/>
      </c>
      <c r="I576" s="23"/>
    </row>
    <row r="577" customFormat="false" ht="15" hidden="false" customHeight="false" outlineLevel="0" collapsed="false">
      <c r="A577" s="27"/>
      <c r="B577" s="23"/>
      <c r="C577" s="26" t="str">
        <f aca="false">IF($B577="","",IFERROR(INDEX(Produits!$B$5:$B$204,MATCH($B577,Produits!$A$5:$A$204,0)),"Code inconnu"))</f>
        <v/>
      </c>
      <c r="D577" s="23"/>
      <c r="E577" s="24"/>
      <c r="F577" s="21" t="str">
        <f aca="false">IF(OR($B577="",$D577=""),"",IFERROR(IF($D577="Entrée",INDEX(Produits!$E$5:$E$204,MATCH($B577,Produits!$A$5:$A$204,0)),INDEX(Produits!$F$5:$F$204,MATCH($B577,Produits!$A$5:$A$204,0))),""))</f>
        <v/>
      </c>
      <c r="G577" s="21" t="str">
        <f aca="false">IF(OR($F577="",$E577=""),"",$E577*$F577)</f>
        <v/>
      </c>
      <c r="H577" s="21" t="str">
        <f aca="false">IF(AND($D577="Sortie",$B577&lt;&gt;"",$E577&lt;&gt;""),IFERROR($E577*INDEX(Produits!$E$5:$E$204,MATCH($B577,Produits!$A$5:$A$204,0)),""),"")</f>
        <v/>
      </c>
      <c r="I577" s="23"/>
    </row>
    <row r="578" customFormat="false" ht="15" hidden="false" customHeight="false" outlineLevel="0" collapsed="false">
      <c r="A578" s="27"/>
      <c r="B578" s="23"/>
      <c r="C578" s="26" t="str">
        <f aca="false">IF($B578="","",IFERROR(INDEX(Produits!$B$5:$B$204,MATCH($B578,Produits!$A$5:$A$204,0)),"Code inconnu"))</f>
        <v/>
      </c>
      <c r="D578" s="23"/>
      <c r="E578" s="24"/>
      <c r="F578" s="21" t="str">
        <f aca="false">IF(OR($B578="",$D578=""),"",IFERROR(IF($D578="Entrée",INDEX(Produits!$E$5:$E$204,MATCH($B578,Produits!$A$5:$A$204,0)),INDEX(Produits!$F$5:$F$204,MATCH($B578,Produits!$A$5:$A$204,0))),""))</f>
        <v/>
      </c>
      <c r="G578" s="21" t="str">
        <f aca="false">IF(OR($F578="",$E578=""),"",$E578*$F578)</f>
        <v/>
      </c>
      <c r="H578" s="21" t="str">
        <f aca="false">IF(AND($D578="Sortie",$B578&lt;&gt;"",$E578&lt;&gt;""),IFERROR($E578*INDEX(Produits!$E$5:$E$204,MATCH($B578,Produits!$A$5:$A$204,0)),""),"")</f>
        <v/>
      </c>
      <c r="I578" s="23"/>
    </row>
    <row r="579" customFormat="false" ht="15" hidden="false" customHeight="false" outlineLevel="0" collapsed="false">
      <c r="A579" s="27"/>
      <c r="B579" s="23"/>
      <c r="C579" s="26" t="str">
        <f aca="false">IF($B579="","",IFERROR(INDEX(Produits!$B$5:$B$204,MATCH($B579,Produits!$A$5:$A$204,0)),"Code inconnu"))</f>
        <v/>
      </c>
      <c r="D579" s="23"/>
      <c r="E579" s="24"/>
      <c r="F579" s="21" t="str">
        <f aca="false">IF(OR($B579="",$D579=""),"",IFERROR(IF($D579="Entrée",INDEX(Produits!$E$5:$E$204,MATCH($B579,Produits!$A$5:$A$204,0)),INDEX(Produits!$F$5:$F$204,MATCH($B579,Produits!$A$5:$A$204,0))),""))</f>
        <v/>
      </c>
      <c r="G579" s="21" t="str">
        <f aca="false">IF(OR($F579="",$E579=""),"",$E579*$F579)</f>
        <v/>
      </c>
      <c r="H579" s="21" t="str">
        <f aca="false">IF(AND($D579="Sortie",$B579&lt;&gt;"",$E579&lt;&gt;""),IFERROR($E579*INDEX(Produits!$E$5:$E$204,MATCH($B579,Produits!$A$5:$A$204,0)),""),"")</f>
        <v/>
      </c>
      <c r="I579" s="23"/>
    </row>
    <row r="580" customFormat="false" ht="15" hidden="false" customHeight="false" outlineLevel="0" collapsed="false">
      <c r="A580" s="27"/>
      <c r="B580" s="23"/>
      <c r="C580" s="26" t="str">
        <f aca="false">IF($B580="","",IFERROR(INDEX(Produits!$B$5:$B$204,MATCH($B580,Produits!$A$5:$A$204,0)),"Code inconnu"))</f>
        <v/>
      </c>
      <c r="D580" s="23"/>
      <c r="E580" s="24"/>
      <c r="F580" s="21" t="str">
        <f aca="false">IF(OR($B580="",$D580=""),"",IFERROR(IF($D580="Entrée",INDEX(Produits!$E$5:$E$204,MATCH($B580,Produits!$A$5:$A$204,0)),INDEX(Produits!$F$5:$F$204,MATCH($B580,Produits!$A$5:$A$204,0))),""))</f>
        <v/>
      </c>
      <c r="G580" s="21" t="str">
        <f aca="false">IF(OR($F580="",$E580=""),"",$E580*$F580)</f>
        <v/>
      </c>
      <c r="H580" s="21" t="str">
        <f aca="false">IF(AND($D580="Sortie",$B580&lt;&gt;"",$E580&lt;&gt;""),IFERROR($E580*INDEX(Produits!$E$5:$E$204,MATCH($B580,Produits!$A$5:$A$204,0)),""),"")</f>
        <v/>
      </c>
      <c r="I580" s="23"/>
    </row>
    <row r="581" customFormat="false" ht="15" hidden="false" customHeight="false" outlineLevel="0" collapsed="false">
      <c r="A581" s="27"/>
      <c r="B581" s="23"/>
      <c r="C581" s="26" t="str">
        <f aca="false">IF($B581="","",IFERROR(INDEX(Produits!$B$5:$B$204,MATCH($B581,Produits!$A$5:$A$204,0)),"Code inconnu"))</f>
        <v/>
      </c>
      <c r="D581" s="23"/>
      <c r="E581" s="24"/>
      <c r="F581" s="21" t="str">
        <f aca="false">IF(OR($B581="",$D581=""),"",IFERROR(IF($D581="Entrée",INDEX(Produits!$E$5:$E$204,MATCH($B581,Produits!$A$5:$A$204,0)),INDEX(Produits!$F$5:$F$204,MATCH($B581,Produits!$A$5:$A$204,0))),""))</f>
        <v/>
      </c>
      <c r="G581" s="21" t="str">
        <f aca="false">IF(OR($F581="",$E581=""),"",$E581*$F581)</f>
        <v/>
      </c>
      <c r="H581" s="21" t="str">
        <f aca="false">IF(AND($D581="Sortie",$B581&lt;&gt;"",$E581&lt;&gt;""),IFERROR($E581*INDEX(Produits!$E$5:$E$204,MATCH($B581,Produits!$A$5:$A$204,0)),""),"")</f>
        <v/>
      </c>
      <c r="I581" s="23"/>
    </row>
    <row r="582" customFormat="false" ht="15" hidden="false" customHeight="false" outlineLevel="0" collapsed="false">
      <c r="A582" s="27"/>
      <c r="B582" s="23"/>
      <c r="C582" s="26" t="str">
        <f aca="false">IF($B582="","",IFERROR(INDEX(Produits!$B$5:$B$204,MATCH($B582,Produits!$A$5:$A$204,0)),"Code inconnu"))</f>
        <v/>
      </c>
      <c r="D582" s="23"/>
      <c r="E582" s="24"/>
      <c r="F582" s="21" t="str">
        <f aca="false">IF(OR($B582="",$D582=""),"",IFERROR(IF($D582="Entrée",INDEX(Produits!$E$5:$E$204,MATCH($B582,Produits!$A$5:$A$204,0)),INDEX(Produits!$F$5:$F$204,MATCH($B582,Produits!$A$5:$A$204,0))),""))</f>
        <v/>
      </c>
      <c r="G582" s="21" t="str">
        <f aca="false">IF(OR($F582="",$E582=""),"",$E582*$F582)</f>
        <v/>
      </c>
      <c r="H582" s="21" t="str">
        <f aca="false">IF(AND($D582="Sortie",$B582&lt;&gt;"",$E582&lt;&gt;""),IFERROR($E582*INDEX(Produits!$E$5:$E$204,MATCH($B582,Produits!$A$5:$A$204,0)),""),"")</f>
        <v/>
      </c>
      <c r="I582" s="23"/>
    </row>
    <row r="583" customFormat="false" ht="15" hidden="false" customHeight="false" outlineLevel="0" collapsed="false">
      <c r="A583" s="27"/>
      <c r="B583" s="23"/>
      <c r="C583" s="26" t="str">
        <f aca="false">IF($B583="","",IFERROR(INDEX(Produits!$B$5:$B$204,MATCH($B583,Produits!$A$5:$A$204,0)),"Code inconnu"))</f>
        <v/>
      </c>
      <c r="D583" s="23"/>
      <c r="E583" s="24"/>
      <c r="F583" s="21" t="str">
        <f aca="false">IF(OR($B583="",$D583=""),"",IFERROR(IF($D583="Entrée",INDEX(Produits!$E$5:$E$204,MATCH($B583,Produits!$A$5:$A$204,0)),INDEX(Produits!$F$5:$F$204,MATCH($B583,Produits!$A$5:$A$204,0))),""))</f>
        <v/>
      </c>
      <c r="G583" s="21" t="str">
        <f aca="false">IF(OR($F583="",$E583=""),"",$E583*$F583)</f>
        <v/>
      </c>
      <c r="H583" s="21" t="str">
        <f aca="false">IF(AND($D583="Sortie",$B583&lt;&gt;"",$E583&lt;&gt;""),IFERROR($E583*INDEX(Produits!$E$5:$E$204,MATCH($B583,Produits!$A$5:$A$204,0)),""),"")</f>
        <v/>
      </c>
      <c r="I583" s="23"/>
    </row>
    <row r="584" customFormat="false" ht="15" hidden="false" customHeight="false" outlineLevel="0" collapsed="false">
      <c r="A584" s="27"/>
      <c r="B584" s="23"/>
      <c r="C584" s="26" t="str">
        <f aca="false">IF($B584="","",IFERROR(INDEX(Produits!$B$5:$B$204,MATCH($B584,Produits!$A$5:$A$204,0)),"Code inconnu"))</f>
        <v/>
      </c>
      <c r="D584" s="23"/>
      <c r="E584" s="24"/>
      <c r="F584" s="21" t="str">
        <f aca="false">IF(OR($B584="",$D584=""),"",IFERROR(IF($D584="Entrée",INDEX(Produits!$E$5:$E$204,MATCH($B584,Produits!$A$5:$A$204,0)),INDEX(Produits!$F$5:$F$204,MATCH($B584,Produits!$A$5:$A$204,0))),""))</f>
        <v/>
      </c>
      <c r="G584" s="21" t="str">
        <f aca="false">IF(OR($F584="",$E584=""),"",$E584*$F584)</f>
        <v/>
      </c>
      <c r="H584" s="21" t="str">
        <f aca="false">IF(AND($D584="Sortie",$B584&lt;&gt;"",$E584&lt;&gt;""),IFERROR($E584*INDEX(Produits!$E$5:$E$204,MATCH($B584,Produits!$A$5:$A$204,0)),""),"")</f>
        <v/>
      </c>
      <c r="I584" s="23"/>
    </row>
    <row r="585" customFormat="false" ht="15" hidden="false" customHeight="false" outlineLevel="0" collapsed="false">
      <c r="A585" s="27"/>
      <c r="B585" s="23"/>
      <c r="C585" s="26" t="str">
        <f aca="false">IF($B585="","",IFERROR(INDEX(Produits!$B$5:$B$204,MATCH($B585,Produits!$A$5:$A$204,0)),"Code inconnu"))</f>
        <v/>
      </c>
      <c r="D585" s="23"/>
      <c r="E585" s="24"/>
      <c r="F585" s="21" t="str">
        <f aca="false">IF(OR($B585="",$D585=""),"",IFERROR(IF($D585="Entrée",INDEX(Produits!$E$5:$E$204,MATCH($B585,Produits!$A$5:$A$204,0)),INDEX(Produits!$F$5:$F$204,MATCH($B585,Produits!$A$5:$A$204,0))),""))</f>
        <v/>
      </c>
      <c r="G585" s="21" t="str">
        <f aca="false">IF(OR($F585="",$E585=""),"",$E585*$F585)</f>
        <v/>
      </c>
      <c r="H585" s="21" t="str">
        <f aca="false">IF(AND($D585="Sortie",$B585&lt;&gt;"",$E585&lt;&gt;""),IFERROR($E585*INDEX(Produits!$E$5:$E$204,MATCH($B585,Produits!$A$5:$A$204,0)),""),"")</f>
        <v/>
      </c>
      <c r="I585" s="23"/>
    </row>
    <row r="586" customFormat="false" ht="15" hidden="false" customHeight="false" outlineLevel="0" collapsed="false">
      <c r="A586" s="27"/>
      <c r="B586" s="23"/>
      <c r="C586" s="26" t="str">
        <f aca="false">IF($B586="","",IFERROR(INDEX(Produits!$B$5:$B$204,MATCH($B586,Produits!$A$5:$A$204,0)),"Code inconnu"))</f>
        <v/>
      </c>
      <c r="D586" s="23"/>
      <c r="E586" s="24"/>
      <c r="F586" s="21" t="str">
        <f aca="false">IF(OR($B586="",$D586=""),"",IFERROR(IF($D586="Entrée",INDEX(Produits!$E$5:$E$204,MATCH($B586,Produits!$A$5:$A$204,0)),INDEX(Produits!$F$5:$F$204,MATCH($B586,Produits!$A$5:$A$204,0))),""))</f>
        <v/>
      </c>
      <c r="G586" s="21" t="str">
        <f aca="false">IF(OR($F586="",$E586=""),"",$E586*$F586)</f>
        <v/>
      </c>
      <c r="H586" s="21" t="str">
        <f aca="false">IF(AND($D586="Sortie",$B586&lt;&gt;"",$E586&lt;&gt;""),IFERROR($E586*INDEX(Produits!$E$5:$E$204,MATCH($B586,Produits!$A$5:$A$204,0)),""),"")</f>
        <v/>
      </c>
      <c r="I586" s="23"/>
    </row>
    <row r="587" customFormat="false" ht="15" hidden="false" customHeight="false" outlineLevel="0" collapsed="false">
      <c r="A587" s="27"/>
      <c r="B587" s="23"/>
      <c r="C587" s="26" t="str">
        <f aca="false">IF($B587="","",IFERROR(INDEX(Produits!$B$5:$B$204,MATCH($B587,Produits!$A$5:$A$204,0)),"Code inconnu"))</f>
        <v/>
      </c>
      <c r="D587" s="23"/>
      <c r="E587" s="24"/>
      <c r="F587" s="21" t="str">
        <f aca="false">IF(OR($B587="",$D587=""),"",IFERROR(IF($D587="Entrée",INDEX(Produits!$E$5:$E$204,MATCH($B587,Produits!$A$5:$A$204,0)),INDEX(Produits!$F$5:$F$204,MATCH($B587,Produits!$A$5:$A$204,0))),""))</f>
        <v/>
      </c>
      <c r="G587" s="21" t="str">
        <f aca="false">IF(OR($F587="",$E587=""),"",$E587*$F587)</f>
        <v/>
      </c>
      <c r="H587" s="21" t="str">
        <f aca="false">IF(AND($D587="Sortie",$B587&lt;&gt;"",$E587&lt;&gt;""),IFERROR($E587*INDEX(Produits!$E$5:$E$204,MATCH($B587,Produits!$A$5:$A$204,0)),""),"")</f>
        <v/>
      </c>
      <c r="I587" s="23"/>
    </row>
    <row r="588" customFormat="false" ht="15" hidden="false" customHeight="false" outlineLevel="0" collapsed="false">
      <c r="A588" s="27"/>
      <c r="B588" s="23"/>
      <c r="C588" s="26" t="str">
        <f aca="false">IF($B588="","",IFERROR(INDEX(Produits!$B$5:$B$204,MATCH($B588,Produits!$A$5:$A$204,0)),"Code inconnu"))</f>
        <v/>
      </c>
      <c r="D588" s="23"/>
      <c r="E588" s="24"/>
      <c r="F588" s="21" t="str">
        <f aca="false">IF(OR($B588="",$D588=""),"",IFERROR(IF($D588="Entrée",INDEX(Produits!$E$5:$E$204,MATCH($B588,Produits!$A$5:$A$204,0)),INDEX(Produits!$F$5:$F$204,MATCH($B588,Produits!$A$5:$A$204,0))),""))</f>
        <v/>
      </c>
      <c r="G588" s="21" t="str">
        <f aca="false">IF(OR($F588="",$E588=""),"",$E588*$F588)</f>
        <v/>
      </c>
      <c r="H588" s="21" t="str">
        <f aca="false">IF(AND($D588="Sortie",$B588&lt;&gt;"",$E588&lt;&gt;""),IFERROR($E588*INDEX(Produits!$E$5:$E$204,MATCH($B588,Produits!$A$5:$A$204,0)),""),"")</f>
        <v/>
      </c>
      <c r="I588" s="23"/>
    </row>
    <row r="589" customFormat="false" ht="15" hidden="false" customHeight="false" outlineLevel="0" collapsed="false">
      <c r="A589" s="27"/>
      <c r="B589" s="23"/>
      <c r="C589" s="26" t="str">
        <f aca="false">IF($B589="","",IFERROR(INDEX(Produits!$B$5:$B$204,MATCH($B589,Produits!$A$5:$A$204,0)),"Code inconnu"))</f>
        <v/>
      </c>
      <c r="D589" s="23"/>
      <c r="E589" s="24"/>
      <c r="F589" s="21" t="str">
        <f aca="false">IF(OR($B589="",$D589=""),"",IFERROR(IF($D589="Entrée",INDEX(Produits!$E$5:$E$204,MATCH($B589,Produits!$A$5:$A$204,0)),INDEX(Produits!$F$5:$F$204,MATCH($B589,Produits!$A$5:$A$204,0))),""))</f>
        <v/>
      </c>
      <c r="G589" s="21" t="str">
        <f aca="false">IF(OR($F589="",$E589=""),"",$E589*$F589)</f>
        <v/>
      </c>
      <c r="H589" s="21" t="str">
        <f aca="false">IF(AND($D589="Sortie",$B589&lt;&gt;"",$E589&lt;&gt;""),IFERROR($E589*INDEX(Produits!$E$5:$E$204,MATCH($B589,Produits!$A$5:$A$204,0)),""),"")</f>
        <v/>
      </c>
      <c r="I589" s="23"/>
    </row>
    <row r="590" customFormat="false" ht="15" hidden="false" customHeight="false" outlineLevel="0" collapsed="false">
      <c r="A590" s="27"/>
      <c r="B590" s="23"/>
      <c r="C590" s="26" t="str">
        <f aca="false">IF($B590="","",IFERROR(INDEX(Produits!$B$5:$B$204,MATCH($B590,Produits!$A$5:$A$204,0)),"Code inconnu"))</f>
        <v/>
      </c>
      <c r="D590" s="23"/>
      <c r="E590" s="24"/>
      <c r="F590" s="21" t="str">
        <f aca="false">IF(OR($B590="",$D590=""),"",IFERROR(IF($D590="Entrée",INDEX(Produits!$E$5:$E$204,MATCH($B590,Produits!$A$5:$A$204,0)),INDEX(Produits!$F$5:$F$204,MATCH($B590,Produits!$A$5:$A$204,0))),""))</f>
        <v/>
      </c>
      <c r="G590" s="21" t="str">
        <f aca="false">IF(OR($F590="",$E590=""),"",$E590*$F590)</f>
        <v/>
      </c>
      <c r="H590" s="21" t="str">
        <f aca="false">IF(AND($D590="Sortie",$B590&lt;&gt;"",$E590&lt;&gt;""),IFERROR($E590*INDEX(Produits!$E$5:$E$204,MATCH($B590,Produits!$A$5:$A$204,0)),""),"")</f>
        <v/>
      </c>
      <c r="I590" s="23"/>
    </row>
    <row r="591" customFormat="false" ht="15" hidden="false" customHeight="false" outlineLevel="0" collapsed="false">
      <c r="A591" s="27"/>
      <c r="B591" s="23"/>
      <c r="C591" s="26" t="str">
        <f aca="false">IF($B591="","",IFERROR(INDEX(Produits!$B$5:$B$204,MATCH($B591,Produits!$A$5:$A$204,0)),"Code inconnu"))</f>
        <v/>
      </c>
      <c r="D591" s="23"/>
      <c r="E591" s="24"/>
      <c r="F591" s="21" t="str">
        <f aca="false">IF(OR($B591="",$D591=""),"",IFERROR(IF($D591="Entrée",INDEX(Produits!$E$5:$E$204,MATCH($B591,Produits!$A$5:$A$204,0)),INDEX(Produits!$F$5:$F$204,MATCH($B591,Produits!$A$5:$A$204,0))),""))</f>
        <v/>
      </c>
      <c r="G591" s="21" t="str">
        <f aca="false">IF(OR($F591="",$E591=""),"",$E591*$F591)</f>
        <v/>
      </c>
      <c r="H591" s="21" t="str">
        <f aca="false">IF(AND($D591="Sortie",$B591&lt;&gt;"",$E591&lt;&gt;""),IFERROR($E591*INDEX(Produits!$E$5:$E$204,MATCH($B591,Produits!$A$5:$A$204,0)),""),"")</f>
        <v/>
      </c>
      <c r="I591" s="23"/>
    </row>
    <row r="592" customFormat="false" ht="15" hidden="false" customHeight="false" outlineLevel="0" collapsed="false">
      <c r="A592" s="27"/>
      <c r="B592" s="23"/>
      <c r="C592" s="26" t="str">
        <f aca="false">IF($B592="","",IFERROR(INDEX(Produits!$B$5:$B$204,MATCH($B592,Produits!$A$5:$A$204,0)),"Code inconnu"))</f>
        <v/>
      </c>
      <c r="D592" s="23"/>
      <c r="E592" s="24"/>
      <c r="F592" s="21" t="str">
        <f aca="false">IF(OR($B592="",$D592=""),"",IFERROR(IF($D592="Entrée",INDEX(Produits!$E$5:$E$204,MATCH($B592,Produits!$A$5:$A$204,0)),INDEX(Produits!$F$5:$F$204,MATCH($B592,Produits!$A$5:$A$204,0))),""))</f>
        <v/>
      </c>
      <c r="G592" s="21" t="str">
        <f aca="false">IF(OR($F592="",$E592=""),"",$E592*$F592)</f>
        <v/>
      </c>
      <c r="H592" s="21" t="str">
        <f aca="false">IF(AND($D592="Sortie",$B592&lt;&gt;"",$E592&lt;&gt;""),IFERROR($E592*INDEX(Produits!$E$5:$E$204,MATCH($B592,Produits!$A$5:$A$204,0)),""),"")</f>
        <v/>
      </c>
      <c r="I592" s="23"/>
    </row>
    <row r="593" customFormat="false" ht="15" hidden="false" customHeight="false" outlineLevel="0" collapsed="false">
      <c r="A593" s="27"/>
      <c r="B593" s="23"/>
      <c r="C593" s="26" t="str">
        <f aca="false">IF($B593="","",IFERROR(INDEX(Produits!$B$5:$B$204,MATCH($B593,Produits!$A$5:$A$204,0)),"Code inconnu"))</f>
        <v/>
      </c>
      <c r="D593" s="23"/>
      <c r="E593" s="24"/>
      <c r="F593" s="21" t="str">
        <f aca="false">IF(OR($B593="",$D593=""),"",IFERROR(IF($D593="Entrée",INDEX(Produits!$E$5:$E$204,MATCH($B593,Produits!$A$5:$A$204,0)),INDEX(Produits!$F$5:$F$204,MATCH($B593,Produits!$A$5:$A$204,0))),""))</f>
        <v/>
      </c>
      <c r="G593" s="21" t="str">
        <f aca="false">IF(OR($F593="",$E593=""),"",$E593*$F593)</f>
        <v/>
      </c>
      <c r="H593" s="21" t="str">
        <f aca="false">IF(AND($D593="Sortie",$B593&lt;&gt;"",$E593&lt;&gt;""),IFERROR($E593*INDEX(Produits!$E$5:$E$204,MATCH($B593,Produits!$A$5:$A$204,0)),""),"")</f>
        <v/>
      </c>
      <c r="I593" s="23"/>
    </row>
    <row r="594" customFormat="false" ht="15" hidden="false" customHeight="false" outlineLevel="0" collapsed="false">
      <c r="A594" s="27"/>
      <c r="B594" s="23"/>
      <c r="C594" s="26" t="str">
        <f aca="false">IF($B594="","",IFERROR(INDEX(Produits!$B$5:$B$204,MATCH($B594,Produits!$A$5:$A$204,0)),"Code inconnu"))</f>
        <v/>
      </c>
      <c r="D594" s="23"/>
      <c r="E594" s="24"/>
      <c r="F594" s="21" t="str">
        <f aca="false">IF(OR($B594="",$D594=""),"",IFERROR(IF($D594="Entrée",INDEX(Produits!$E$5:$E$204,MATCH($B594,Produits!$A$5:$A$204,0)),INDEX(Produits!$F$5:$F$204,MATCH($B594,Produits!$A$5:$A$204,0))),""))</f>
        <v/>
      </c>
      <c r="G594" s="21" t="str">
        <f aca="false">IF(OR($F594="",$E594=""),"",$E594*$F594)</f>
        <v/>
      </c>
      <c r="H594" s="21" t="str">
        <f aca="false">IF(AND($D594="Sortie",$B594&lt;&gt;"",$E594&lt;&gt;""),IFERROR($E594*INDEX(Produits!$E$5:$E$204,MATCH($B594,Produits!$A$5:$A$204,0)),""),"")</f>
        <v/>
      </c>
      <c r="I594" s="23"/>
    </row>
    <row r="595" customFormat="false" ht="15" hidden="false" customHeight="false" outlineLevel="0" collapsed="false">
      <c r="A595" s="27"/>
      <c r="B595" s="23"/>
      <c r="C595" s="26" t="str">
        <f aca="false">IF($B595="","",IFERROR(INDEX(Produits!$B$5:$B$204,MATCH($B595,Produits!$A$5:$A$204,0)),"Code inconnu"))</f>
        <v/>
      </c>
      <c r="D595" s="23"/>
      <c r="E595" s="24"/>
      <c r="F595" s="21" t="str">
        <f aca="false">IF(OR($B595="",$D595=""),"",IFERROR(IF($D595="Entrée",INDEX(Produits!$E$5:$E$204,MATCH($B595,Produits!$A$5:$A$204,0)),INDEX(Produits!$F$5:$F$204,MATCH($B595,Produits!$A$5:$A$204,0))),""))</f>
        <v/>
      </c>
      <c r="G595" s="21" t="str">
        <f aca="false">IF(OR($F595="",$E595=""),"",$E595*$F595)</f>
        <v/>
      </c>
      <c r="H595" s="21" t="str">
        <f aca="false">IF(AND($D595="Sortie",$B595&lt;&gt;"",$E595&lt;&gt;""),IFERROR($E595*INDEX(Produits!$E$5:$E$204,MATCH($B595,Produits!$A$5:$A$204,0)),""),"")</f>
        <v/>
      </c>
      <c r="I595" s="23"/>
    </row>
    <row r="596" customFormat="false" ht="15" hidden="false" customHeight="false" outlineLevel="0" collapsed="false">
      <c r="A596" s="27"/>
      <c r="B596" s="23"/>
      <c r="C596" s="26" t="str">
        <f aca="false">IF($B596="","",IFERROR(INDEX(Produits!$B$5:$B$204,MATCH($B596,Produits!$A$5:$A$204,0)),"Code inconnu"))</f>
        <v/>
      </c>
      <c r="D596" s="23"/>
      <c r="E596" s="24"/>
      <c r="F596" s="21" t="str">
        <f aca="false">IF(OR($B596="",$D596=""),"",IFERROR(IF($D596="Entrée",INDEX(Produits!$E$5:$E$204,MATCH($B596,Produits!$A$5:$A$204,0)),INDEX(Produits!$F$5:$F$204,MATCH($B596,Produits!$A$5:$A$204,0))),""))</f>
        <v/>
      </c>
      <c r="G596" s="21" t="str">
        <f aca="false">IF(OR($F596="",$E596=""),"",$E596*$F596)</f>
        <v/>
      </c>
      <c r="H596" s="21" t="str">
        <f aca="false">IF(AND($D596="Sortie",$B596&lt;&gt;"",$E596&lt;&gt;""),IFERROR($E596*INDEX(Produits!$E$5:$E$204,MATCH($B596,Produits!$A$5:$A$204,0)),""),"")</f>
        <v/>
      </c>
      <c r="I596" s="23"/>
    </row>
    <row r="597" customFormat="false" ht="15" hidden="false" customHeight="false" outlineLevel="0" collapsed="false">
      <c r="A597" s="27"/>
      <c r="B597" s="23"/>
      <c r="C597" s="26" t="str">
        <f aca="false">IF($B597="","",IFERROR(INDEX(Produits!$B$5:$B$204,MATCH($B597,Produits!$A$5:$A$204,0)),"Code inconnu"))</f>
        <v/>
      </c>
      <c r="D597" s="23"/>
      <c r="E597" s="24"/>
      <c r="F597" s="21" t="str">
        <f aca="false">IF(OR($B597="",$D597=""),"",IFERROR(IF($D597="Entrée",INDEX(Produits!$E$5:$E$204,MATCH($B597,Produits!$A$5:$A$204,0)),INDEX(Produits!$F$5:$F$204,MATCH($B597,Produits!$A$5:$A$204,0))),""))</f>
        <v/>
      </c>
      <c r="G597" s="21" t="str">
        <f aca="false">IF(OR($F597="",$E597=""),"",$E597*$F597)</f>
        <v/>
      </c>
      <c r="H597" s="21" t="str">
        <f aca="false">IF(AND($D597="Sortie",$B597&lt;&gt;"",$E597&lt;&gt;""),IFERROR($E597*INDEX(Produits!$E$5:$E$204,MATCH($B597,Produits!$A$5:$A$204,0)),""),"")</f>
        <v/>
      </c>
      <c r="I597" s="23"/>
    </row>
    <row r="598" customFormat="false" ht="15" hidden="false" customHeight="false" outlineLevel="0" collapsed="false">
      <c r="A598" s="27"/>
      <c r="B598" s="23"/>
      <c r="C598" s="26" t="str">
        <f aca="false">IF($B598="","",IFERROR(INDEX(Produits!$B$5:$B$204,MATCH($B598,Produits!$A$5:$A$204,0)),"Code inconnu"))</f>
        <v/>
      </c>
      <c r="D598" s="23"/>
      <c r="E598" s="24"/>
      <c r="F598" s="21" t="str">
        <f aca="false">IF(OR($B598="",$D598=""),"",IFERROR(IF($D598="Entrée",INDEX(Produits!$E$5:$E$204,MATCH($B598,Produits!$A$5:$A$204,0)),INDEX(Produits!$F$5:$F$204,MATCH($B598,Produits!$A$5:$A$204,0))),""))</f>
        <v/>
      </c>
      <c r="G598" s="21" t="str">
        <f aca="false">IF(OR($F598="",$E598=""),"",$E598*$F598)</f>
        <v/>
      </c>
      <c r="H598" s="21" t="str">
        <f aca="false">IF(AND($D598="Sortie",$B598&lt;&gt;"",$E598&lt;&gt;""),IFERROR($E598*INDEX(Produits!$E$5:$E$204,MATCH($B598,Produits!$A$5:$A$204,0)),""),"")</f>
        <v/>
      </c>
      <c r="I598" s="23"/>
    </row>
    <row r="599" customFormat="false" ht="15" hidden="false" customHeight="false" outlineLevel="0" collapsed="false">
      <c r="A599" s="27"/>
      <c r="B599" s="23"/>
      <c r="C599" s="26" t="str">
        <f aca="false">IF($B599="","",IFERROR(INDEX(Produits!$B$5:$B$204,MATCH($B599,Produits!$A$5:$A$204,0)),"Code inconnu"))</f>
        <v/>
      </c>
      <c r="D599" s="23"/>
      <c r="E599" s="24"/>
      <c r="F599" s="21" t="str">
        <f aca="false">IF(OR($B599="",$D599=""),"",IFERROR(IF($D599="Entrée",INDEX(Produits!$E$5:$E$204,MATCH($B599,Produits!$A$5:$A$204,0)),INDEX(Produits!$F$5:$F$204,MATCH($B599,Produits!$A$5:$A$204,0))),""))</f>
        <v/>
      </c>
      <c r="G599" s="21" t="str">
        <f aca="false">IF(OR($F599="",$E599=""),"",$E599*$F599)</f>
        <v/>
      </c>
      <c r="H599" s="21" t="str">
        <f aca="false">IF(AND($D599="Sortie",$B599&lt;&gt;"",$E599&lt;&gt;""),IFERROR($E599*INDEX(Produits!$E$5:$E$204,MATCH($B599,Produits!$A$5:$A$204,0)),""),"")</f>
        <v/>
      </c>
      <c r="I599" s="23"/>
    </row>
    <row r="600" customFormat="false" ht="15" hidden="false" customHeight="false" outlineLevel="0" collapsed="false">
      <c r="A600" s="27"/>
      <c r="B600" s="23"/>
      <c r="C600" s="26" t="str">
        <f aca="false">IF($B600="","",IFERROR(INDEX(Produits!$B$5:$B$204,MATCH($B600,Produits!$A$5:$A$204,0)),"Code inconnu"))</f>
        <v/>
      </c>
      <c r="D600" s="23"/>
      <c r="E600" s="24"/>
      <c r="F600" s="21" t="str">
        <f aca="false">IF(OR($B600="",$D600=""),"",IFERROR(IF($D600="Entrée",INDEX(Produits!$E$5:$E$204,MATCH($B600,Produits!$A$5:$A$204,0)),INDEX(Produits!$F$5:$F$204,MATCH($B600,Produits!$A$5:$A$204,0))),""))</f>
        <v/>
      </c>
      <c r="G600" s="21" t="str">
        <f aca="false">IF(OR($F600="",$E600=""),"",$E600*$F600)</f>
        <v/>
      </c>
      <c r="H600" s="21" t="str">
        <f aca="false">IF(AND($D600="Sortie",$B600&lt;&gt;"",$E600&lt;&gt;""),IFERROR($E600*INDEX(Produits!$E$5:$E$204,MATCH($B600,Produits!$A$5:$A$204,0)),""),"")</f>
        <v/>
      </c>
      <c r="I600" s="23"/>
    </row>
    <row r="601" customFormat="false" ht="15" hidden="false" customHeight="false" outlineLevel="0" collapsed="false">
      <c r="A601" s="27"/>
      <c r="B601" s="23"/>
      <c r="C601" s="26" t="str">
        <f aca="false">IF($B601="","",IFERROR(INDEX(Produits!$B$5:$B$204,MATCH($B601,Produits!$A$5:$A$204,0)),"Code inconnu"))</f>
        <v/>
      </c>
      <c r="D601" s="23"/>
      <c r="E601" s="24"/>
      <c r="F601" s="21" t="str">
        <f aca="false">IF(OR($B601="",$D601=""),"",IFERROR(IF($D601="Entrée",INDEX(Produits!$E$5:$E$204,MATCH($B601,Produits!$A$5:$A$204,0)),INDEX(Produits!$F$5:$F$204,MATCH($B601,Produits!$A$5:$A$204,0))),""))</f>
        <v/>
      </c>
      <c r="G601" s="21" t="str">
        <f aca="false">IF(OR($F601="",$E601=""),"",$E601*$F601)</f>
        <v/>
      </c>
      <c r="H601" s="21" t="str">
        <f aca="false">IF(AND($D601="Sortie",$B601&lt;&gt;"",$E601&lt;&gt;""),IFERROR($E601*INDEX(Produits!$E$5:$E$204,MATCH($B601,Produits!$A$5:$A$204,0)),""),"")</f>
        <v/>
      </c>
      <c r="I601" s="23"/>
    </row>
    <row r="602" customFormat="false" ht="15" hidden="false" customHeight="false" outlineLevel="0" collapsed="false">
      <c r="A602" s="27"/>
      <c r="B602" s="23"/>
      <c r="C602" s="26" t="str">
        <f aca="false">IF($B602="","",IFERROR(INDEX(Produits!$B$5:$B$204,MATCH($B602,Produits!$A$5:$A$204,0)),"Code inconnu"))</f>
        <v/>
      </c>
      <c r="D602" s="23"/>
      <c r="E602" s="24"/>
      <c r="F602" s="21" t="str">
        <f aca="false">IF(OR($B602="",$D602=""),"",IFERROR(IF($D602="Entrée",INDEX(Produits!$E$5:$E$204,MATCH($B602,Produits!$A$5:$A$204,0)),INDEX(Produits!$F$5:$F$204,MATCH($B602,Produits!$A$5:$A$204,0))),""))</f>
        <v/>
      </c>
      <c r="G602" s="21" t="str">
        <f aca="false">IF(OR($F602="",$E602=""),"",$E602*$F602)</f>
        <v/>
      </c>
      <c r="H602" s="21" t="str">
        <f aca="false">IF(AND($D602="Sortie",$B602&lt;&gt;"",$E602&lt;&gt;""),IFERROR($E602*INDEX(Produits!$E$5:$E$204,MATCH($B602,Produits!$A$5:$A$204,0)),""),"")</f>
        <v/>
      </c>
      <c r="I602" s="23"/>
    </row>
    <row r="603" customFormat="false" ht="15" hidden="false" customHeight="false" outlineLevel="0" collapsed="false">
      <c r="A603" s="27"/>
      <c r="B603" s="23"/>
      <c r="C603" s="26" t="str">
        <f aca="false">IF($B603="","",IFERROR(INDEX(Produits!$B$5:$B$204,MATCH($B603,Produits!$A$5:$A$204,0)),"Code inconnu"))</f>
        <v/>
      </c>
      <c r="D603" s="23"/>
      <c r="E603" s="24"/>
      <c r="F603" s="21" t="str">
        <f aca="false">IF(OR($B603="",$D603=""),"",IFERROR(IF($D603="Entrée",INDEX(Produits!$E$5:$E$204,MATCH($B603,Produits!$A$5:$A$204,0)),INDEX(Produits!$F$5:$F$204,MATCH($B603,Produits!$A$5:$A$204,0))),""))</f>
        <v/>
      </c>
      <c r="G603" s="21" t="str">
        <f aca="false">IF(OR($F603="",$E603=""),"",$E603*$F603)</f>
        <v/>
      </c>
      <c r="H603" s="21" t="str">
        <f aca="false">IF(AND($D603="Sortie",$B603&lt;&gt;"",$E603&lt;&gt;""),IFERROR($E603*INDEX(Produits!$E$5:$E$204,MATCH($B603,Produits!$A$5:$A$204,0)),""),"")</f>
        <v/>
      </c>
      <c r="I603" s="23"/>
    </row>
    <row r="604" customFormat="false" ht="15" hidden="false" customHeight="false" outlineLevel="0" collapsed="false">
      <c r="A604" s="27"/>
      <c r="B604" s="23"/>
      <c r="C604" s="26" t="str">
        <f aca="false">IF($B604="","",IFERROR(INDEX(Produits!$B$5:$B$204,MATCH($B604,Produits!$A$5:$A$204,0)),"Code inconnu"))</f>
        <v/>
      </c>
      <c r="D604" s="23"/>
      <c r="E604" s="24"/>
      <c r="F604" s="21" t="str">
        <f aca="false">IF(OR($B604="",$D604=""),"",IFERROR(IF($D604="Entrée",INDEX(Produits!$E$5:$E$204,MATCH($B604,Produits!$A$5:$A$204,0)),INDEX(Produits!$F$5:$F$204,MATCH($B604,Produits!$A$5:$A$204,0))),""))</f>
        <v/>
      </c>
      <c r="G604" s="21" t="str">
        <f aca="false">IF(OR($F604="",$E604=""),"",$E604*$F604)</f>
        <v/>
      </c>
      <c r="H604" s="21" t="str">
        <f aca="false">IF(AND($D604="Sortie",$B604&lt;&gt;"",$E604&lt;&gt;""),IFERROR($E604*INDEX(Produits!$E$5:$E$204,MATCH($B604,Produits!$A$5:$A$204,0)),""),"")</f>
        <v/>
      </c>
      <c r="I604" s="23"/>
    </row>
    <row r="605" customFormat="false" ht="15" hidden="false" customHeight="false" outlineLevel="0" collapsed="false">
      <c r="A605" s="27"/>
      <c r="B605" s="23"/>
      <c r="C605" s="26" t="str">
        <f aca="false">IF($B605="","",IFERROR(INDEX(Produits!$B$5:$B$204,MATCH($B605,Produits!$A$5:$A$204,0)),"Code inconnu"))</f>
        <v/>
      </c>
      <c r="D605" s="23"/>
      <c r="E605" s="24"/>
      <c r="F605" s="21" t="str">
        <f aca="false">IF(OR($B605="",$D605=""),"",IFERROR(IF($D605="Entrée",INDEX(Produits!$E$5:$E$204,MATCH($B605,Produits!$A$5:$A$204,0)),INDEX(Produits!$F$5:$F$204,MATCH($B605,Produits!$A$5:$A$204,0))),""))</f>
        <v/>
      </c>
      <c r="G605" s="21" t="str">
        <f aca="false">IF(OR($F605="",$E605=""),"",$E605*$F605)</f>
        <v/>
      </c>
      <c r="H605" s="21" t="str">
        <f aca="false">IF(AND($D605="Sortie",$B605&lt;&gt;"",$E605&lt;&gt;""),IFERROR($E605*INDEX(Produits!$E$5:$E$204,MATCH($B605,Produits!$A$5:$A$204,0)),""),"")</f>
        <v/>
      </c>
      <c r="I605" s="23"/>
    </row>
    <row r="606" customFormat="false" ht="15" hidden="false" customHeight="false" outlineLevel="0" collapsed="false">
      <c r="A606" s="27"/>
      <c r="B606" s="23"/>
      <c r="C606" s="26" t="str">
        <f aca="false">IF($B606="","",IFERROR(INDEX(Produits!$B$5:$B$204,MATCH($B606,Produits!$A$5:$A$204,0)),"Code inconnu"))</f>
        <v/>
      </c>
      <c r="D606" s="23"/>
      <c r="E606" s="24"/>
      <c r="F606" s="21" t="str">
        <f aca="false">IF(OR($B606="",$D606=""),"",IFERROR(IF($D606="Entrée",INDEX(Produits!$E$5:$E$204,MATCH($B606,Produits!$A$5:$A$204,0)),INDEX(Produits!$F$5:$F$204,MATCH($B606,Produits!$A$5:$A$204,0))),""))</f>
        <v/>
      </c>
      <c r="G606" s="21" t="str">
        <f aca="false">IF(OR($F606="",$E606=""),"",$E606*$F606)</f>
        <v/>
      </c>
      <c r="H606" s="21" t="str">
        <f aca="false">IF(AND($D606="Sortie",$B606&lt;&gt;"",$E606&lt;&gt;""),IFERROR($E606*INDEX(Produits!$E$5:$E$204,MATCH($B606,Produits!$A$5:$A$204,0)),""),"")</f>
        <v/>
      </c>
      <c r="I606" s="23"/>
    </row>
    <row r="607" customFormat="false" ht="15" hidden="false" customHeight="false" outlineLevel="0" collapsed="false">
      <c r="A607" s="27"/>
      <c r="B607" s="23"/>
      <c r="C607" s="26" t="str">
        <f aca="false">IF($B607="","",IFERROR(INDEX(Produits!$B$5:$B$204,MATCH($B607,Produits!$A$5:$A$204,0)),"Code inconnu"))</f>
        <v/>
      </c>
      <c r="D607" s="23"/>
      <c r="E607" s="24"/>
      <c r="F607" s="21" t="str">
        <f aca="false">IF(OR($B607="",$D607=""),"",IFERROR(IF($D607="Entrée",INDEX(Produits!$E$5:$E$204,MATCH($B607,Produits!$A$5:$A$204,0)),INDEX(Produits!$F$5:$F$204,MATCH($B607,Produits!$A$5:$A$204,0))),""))</f>
        <v/>
      </c>
      <c r="G607" s="21" t="str">
        <f aca="false">IF(OR($F607="",$E607=""),"",$E607*$F607)</f>
        <v/>
      </c>
      <c r="H607" s="21" t="str">
        <f aca="false">IF(AND($D607="Sortie",$B607&lt;&gt;"",$E607&lt;&gt;""),IFERROR($E607*INDEX(Produits!$E$5:$E$204,MATCH($B607,Produits!$A$5:$A$204,0)),""),"")</f>
        <v/>
      </c>
      <c r="I607" s="23"/>
    </row>
    <row r="608" customFormat="false" ht="15" hidden="false" customHeight="false" outlineLevel="0" collapsed="false">
      <c r="A608" s="27"/>
      <c r="B608" s="23"/>
      <c r="C608" s="26" t="str">
        <f aca="false">IF($B608="","",IFERROR(INDEX(Produits!$B$5:$B$204,MATCH($B608,Produits!$A$5:$A$204,0)),"Code inconnu"))</f>
        <v/>
      </c>
      <c r="D608" s="23"/>
      <c r="E608" s="24"/>
      <c r="F608" s="21" t="str">
        <f aca="false">IF(OR($B608="",$D608=""),"",IFERROR(IF($D608="Entrée",INDEX(Produits!$E$5:$E$204,MATCH($B608,Produits!$A$5:$A$204,0)),INDEX(Produits!$F$5:$F$204,MATCH($B608,Produits!$A$5:$A$204,0))),""))</f>
        <v/>
      </c>
      <c r="G608" s="21" t="str">
        <f aca="false">IF(OR($F608="",$E608=""),"",$E608*$F608)</f>
        <v/>
      </c>
      <c r="H608" s="21" t="str">
        <f aca="false">IF(AND($D608="Sortie",$B608&lt;&gt;"",$E608&lt;&gt;""),IFERROR($E608*INDEX(Produits!$E$5:$E$204,MATCH($B608,Produits!$A$5:$A$204,0)),""),"")</f>
        <v/>
      </c>
      <c r="I608" s="23"/>
    </row>
    <row r="609" customFormat="false" ht="15" hidden="false" customHeight="false" outlineLevel="0" collapsed="false">
      <c r="A609" s="27"/>
      <c r="B609" s="23"/>
      <c r="C609" s="26" t="str">
        <f aca="false">IF($B609="","",IFERROR(INDEX(Produits!$B$5:$B$204,MATCH($B609,Produits!$A$5:$A$204,0)),"Code inconnu"))</f>
        <v/>
      </c>
      <c r="D609" s="23"/>
      <c r="E609" s="24"/>
      <c r="F609" s="21" t="str">
        <f aca="false">IF(OR($B609="",$D609=""),"",IFERROR(IF($D609="Entrée",INDEX(Produits!$E$5:$E$204,MATCH($B609,Produits!$A$5:$A$204,0)),INDEX(Produits!$F$5:$F$204,MATCH($B609,Produits!$A$5:$A$204,0))),""))</f>
        <v/>
      </c>
      <c r="G609" s="21" t="str">
        <f aca="false">IF(OR($F609="",$E609=""),"",$E609*$F609)</f>
        <v/>
      </c>
      <c r="H609" s="21" t="str">
        <f aca="false">IF(AND($D609="Sortie",$B609&lt;&gt;"",$E609&lt;&gt;""),IFERROR($E609*INDEX(Produits!$E$5:$E$204,MATCH($B609,Produits!$A$5:$A$204,0)),""),"")</f>
        <v/>
      </c>
      <c r="I609" s="23"/>
    </row>
    <row r="610" customFormat="false" ht="15" hidden="false" customHeight="false" outlineLevel="0" collapsed="false">
      <c r="A610" s="27"/>
      <c r="B610" s="23"/>
      <c r="C610" s="26" t="str">
        <f aca="false">IF($B610="","",IFERROR(INDEX(Produits!$B$5:$B$204,MATCH($B610,Produits!$A$5:$A$204,0)),"Code inconnu"))</f>
        <v/>
      </c>
      <c r="D610" s="23"/>
      <c r="E610" s="24"/>
      <c r="F610" s="21" t="str">
        <f aca="false">IF(OR($B610="",$D610=""),"",IFERROR(IF($D610="Entrée",INDEX(Produits!$E$5:$E$204,MATCH($B610,Produits!$A$5:$A$204,0)),INDEX(Produits!$F$5:$F$204,MATCH($B610,Produits!$A$5:$A$204,0))),""))</f>
        <v/>
      </c>
      <c r="G610" s="21" t="str">
        <f aca="false">IF(OR($F610="",$E610=""),"",$E610*$F610)</f>
        <v/>
      </c>
      <c r="H610" s="21" t="str">
        <f aca="false">IF(AND($D610="Sortie",$B610&lt;&gt;"",$E610&lt;&gt;""),IFERROR($E610*INDEX(Produits!$E$5:$E$204,MATCH($B610,Produits!$A$5:$A$204,0)),""),"")</f>
        <v/>
      </c>
      <c r="I610" s="23"/>
    </row>
    <row r="611" customFormat="false" ht="15" hidden="false" customHeight="false" outlineLevel="0" collapsed="false">
      <c r="A611" s="27"/>
      <c r="B611" s="23"/>
      <c r="C611" s="26" t="str">
        <f aca="false">IF($B611="","",IFERROR(INDEX(Produits!$B$5:$B$204,MATCH($B611,Produits!$A$5:$A$204,0)),"Code inconnu"))</f>
        <v/>
      </c>
      <c r="D611" s="23"/>
      <c r="E611" s="24"/>
      <c r="F611" s="21" t="str">
        <f aca="false">IF(OR($B611="",$D611=""),"",IFERROR(IF($D611="Entrée",INDEX(Produits!$E$5:$E$204,MATCH($B611,Produits!$A$5:$A$204,0)),INDEX(Produits!$F$5:$F$204,MATCH($B611,Produits!$A$5:$A$204,0))),""))</f>
        <v/>
      </c>
      <c r="G611" s="21" t="str">
        <f aca="false">IF(OR($F611="",$E611=""),"",$E611*$F611)</f>
        <v/>
      </c>
      <c r="H611" s="21" t="str">
        <f aca="false">IF(AND($D611="Sortie",$B611&lt;&gt;"",$E611&lt;&gt;""),IFERROR($E611*INDEX(Produits!$E$5:$E$204,MATCH($B611,Produits!$A$5:$A$204,0)),""),"")</f>
        <v/>
      </c>
      <c r="I611" s="23"/>
    </row>
    <row r="612" customFormat="false" ht="15" hidden="false" customHeight="false" outlineLevel="0" collapsed="false">
      <c r="A612" s="27"/>
      <c r="B612" s="23"/>
      <c r="C612" s="26" t="str">
        <f aca="false">IF($B612="","",IFERROR(INDEX(Produits!$B$5:$B$204,MATCH($B612,Produits!$A$5:$A$204,0)),"Code inconnu"))</f>
        <v/>
      </c>
      <c r="D612" s="23"/>
      <c r="E612" s="24"/>
      <c r="F612" s="21" t="str">
        <f aca="false">IF(OR($B612="",$D612=""),"",IFERROR(IF($D612="Entrée",INDEX(Produits!$E$5:$E$204,MATCH($B612,Produits!$A$5:$A$204,0)),INDEX(Produits!$F$5:$F$204,MATCH($B612,Produits!$A$5:$A$204,0))),""))</f>
        <v/>
      </c>
      <c r="G612" s="21" t="str">
        <f aca="false">IF(OR($F612="",$E612=""),"",$E612*$F612)</f>
        <v/>
      </c>
      <c r="H612" s="21" t="str">
        <f aca="false">IF(AND($D612="Sortie",$B612&lt;&gt;"",$E612&lt;&gt;""),IFERROR($E612*INDEX(Produits!$E$5:$E$204,MATCH($B612,Produits!$A$5:$A$204,0)),""),"")</f>
        <v/>
      </c>
      <c r="I612" s="23"/>
    </row>
    <row r="613" customFormat="false" ht="15" hidden="false" customHeight="false" outlineLevel="0" collapsed="false">
      <c r="A613" s="27"/>
      <c r="B613" s="23"/>
      <c r="C613" s="26" t="str">
        <f aca="false">IF($B613="","",IFERROR(INDEX(Produits!$B$5:$B$204,MATCH($B613,Produits!$A$5:$A$204,0)),"Code inconnu"))</f>
        <v/>
      </c>
      <c r="D613" s="23"/>
      <c r="E613" s="24"/>
      <c r="F613" s="21" t="str">
        <f aca="false">IF(OR($B613="",$D613=""),"",IFERROR(IF($D613="Entrée",INDEX(Produits!$E$5:$E$204,MATCH($B613,Produits!$A$5:$A$204,0)),INDEX(Produits!$F$5:$F$204,MATCH($B613,Produits!$A$5:$A$204,0))),""))</f>
        <v/>
      </c>
      <c r="G613" s="21" t="str">
        <f aca="false">IF(OR($F613="",$E613=""),"",$E613*$F613)</f>
        <v/>
      </c>
      <c r="H613" s="21" t="str">
        <f aca="false">IF(AND($D613="Sortie",$B613&lt;&gt;"",$E613&lt;&gt;""),IFERROR($E613*INDEX(Produits!$E$5:$E$204,MATCH($B613,Produits!$A$5:$A$204,0)),""),"")</f>
        <v/>
      </c>
      <c r="I613" s="23"/>
    </row>
    <row r="614" customFormat="false" ht="15" hidden="false" customHeight="false" outlineLevel="0" collapsed="false">
      <c r="A614" s="27"/>
      <c r="B614" s="23"/>
      <c r="C614" s="26" t="str">
        <f aca="false">IF($B614="","",IFERROR(INDEX(Produits!$B$5:$B$204,MATCH($B614,Produits!$A$5:$A$204,0)),"Code inconnu"))</f>
        <v/>
      </c>
      <c r="D614" s="23"/>
      <c r="E614" s="24"/>
      <c r="F614" s="21" t="str">
        <f aca="false">IF(OR($B614="",$D614=""),"",IFERROR(IF($D614="Entrée",INDEX(Produits!$E$5:$E$204,MATCH($B614,Produits!$A$5:$A$204,0)),INDEX(Produits!$F$5:$F$204,MATCH($B614,Produits!$A$5:$A$204,0))),""))</f>
        <v/>
      </c>
      <c r="G614" s="21" t="str">
        <f aca="false">IF(OR($F614="",$E614=""),"",$E614*$F614)</f>
        <v/>
      </c>
      <c r="H614" s="21" t="str">
        <f aca="false">IF(AND($D614="Sortie",$B614&lt;&gt;"",$E614&lt;&gt;""),IFERROR($E614*INDEX(Produits!$E$5:$E$204,MATCH($B614,Produits!$A$5:$A$204,0)),""),"")</f>
        <v/>
      </c>
      <c r="I614" s="23"/>
    </row>
    <row r="615" customFormat="false" ht="15" hidden="false" customHeight="false" outlineLevel="0" collapsed="false">
      <c r="A615" s="27"/>
      <c r="B615" s="23"/>
      <c r="C615" s="26" t="str">
        <f aca="false">IF($B615="","",IFERROR(INDEX(Produits!$B$5:$B$204,MATCH($B615,Produits!$A$5:$A$204,0)),"Code inconnu"))</f>
        <v/>
      </c>
      <c r="D615" s="23"/>
      <c r="E615" s="24"/>
      <c r="F615" s="21" t="str">
        <f aca="false">IF(OR($B615="",$D615=""),"",IFERROR(IF($D615="Entrée",INDEX(Produits!$E$5:$E$204,MATCH($B615,Produits!$A$5:$A$204,0)),INDEX(Produits!$F$5:$F$204,MATCH($B615,Produits!$A$5:$A$204,0))),""))</f>
        <v/>
      </c>
      <c r="G615" s="21" t="str">
        <f aca="false">IF(OR($F615="",$E615=""),"",$E615*$F615)</f>
        <v/>
      </c>
      <c r="H615" s="21" t="str">
        <f aca="false">IF(AND($D615="Sortie",$B615&lt;&gt;"",$E615&lt;&gt;""),IFERROR($E615*INDEX(Produits!$E$5:$E$204,MATCH($B615,Produits!$A$5:$A$204,0)),""),"")</f>
        <v/>
      </c>
      <c r="I615" s="23"/>
    </row>
    <row r="616" customFormat="false" ht="15" hidden="false" customHeight="false" outlineLevel="0" collapsed="false">
      <c r="A616" s="27"/>
      <c r="B616" s="23"/>
      <c r="C616" s="26" t="str">
        <f aca="false">IF($B616="","",IFERROR(INDEX(Produits!$B$5:$B$204,MATCH($B616,Produits!$A$5:$A$204,0)),"Code inconnu"))</f>
        <v/>
      </c>
      <c r="D616" s="23"/>
      <c r="E616" s="24"/>
      <c r="F616" s="21" t="str">
        <f aca="false">IF(OR($B616="",$D616=""),"",IFERROR(IF($D616="Entrée",INDEX(Produits!$E$5:$E$204,MATCH($B616,Produits!$A$5:$A$204,0)),INDEX(Produits!$F$5:$F$204,MATCH($B616,Produits!$A$5:$A$204,0))),""))</f>
        <v/>
      </c>
      <c r="G616" s="21" t="str">
        <f aca="false">IF(OR($F616="",$E616=""),"",$E616*$F616)</f>
        <v/>
      </c>
      <c r="H616" s="21" t="str">
        <f aca="false">IF(AND($D616="Sortie",$B616&lt;&gt;"",$E616&lt;&gt;""),IFERROR($E616*INDEX(Produits!$E$5:$E$204,MATCH($B616,Produits!$A$5:$A$204,0)),""),"")</f>
        <v/>
      </c>
      <c r="I616" s="23"/>
    </row>
    <row r="617" customFormat="false" ht="15" hidden="false" customHeight="false" outlineLevel="0" collapsed="false">
      <c r="A617" s="27"/>
      <c r="B617" s="23"/>
      <c r="C617" s="26" t="str">
        <f aca="false">IF($B617="","",IFERROR(INDEX(Produits!$B$5:$B$204,MATCH($B617,Produits!$A$5:$A$204,0)),"Code inconnu"))</f>
        <v/>
      </c>
      <c r="D617" s="23"/>
      <c r="E617" s="24"/>
      <c r="F617" s="21" t="str">
        <f aca="false">IF(OR($B617="",$D617=""),"",IFERROR(IF($D617="Entrée",INDEX(Produits!$E$5:$E$204,MATCH($B617,Produits!$A$5:$A$204,0)),INDEX(Produits!$F$5:$F$204,MATCH($B617,Produits!$A$5:$A$204,0))),""))</f>
        <v/>
      </c>
      <c r="G617" s="21" t="str">
        <f aca="false">IF(OR($F617="",$E617=""),"",$E617*$F617)</f>
        <v/>
      </c>
      <c r="H617" s="21" t="str">
        <f aca="false">IF(AND($D617="Sortie",$B617&lt;&gt;"",$E617&lt;&gt;""),IFERROR($E617*INDEX(Produits!$E$5:$E$204,MATCH($B617,Produits!$A$5:$A$204,0)),""),"")</f>
        <v/>
      </c>
      <c r="I617" s="23"/>
    </row>
    <row r="618" customFormat="false" ht="15" hidden="false" customHeight="false" outlineLevel="0" collapsed="false">
      <c r="A618" s="27"/>
      <c r="B618" s="23"/>
      <c r="C618" s="26" t="str">
        <f aca="false">IF($B618="","",IFERROR(INDEX(Produits!$B$5:$B$204,MATCH($B618,Produits!$A$5:$A$204,0)),"Code inconnu"))</f>
        <v/>
      </c>
      <c r="D618" s="23"/>
      <c r="E618" s="24"/>
      <c r="F618" s="21" t="str">
        <f aca="false">IF(OR($B618="",$D618=""),"",IFERROR(IF($D618="Entrée",INDEX(Produits!$E$5:$E$204,MATCH($B618,Produits!$A$5:$A$204,0)),INDEX(Produits!$F$5:$F$204,MATCH($B618,Produits!$A$5:$A$204,0))),""))</f>
        <v/>
      </c>
      <c r="G618" s="21" t="str">
        <f aca="false">IF(OR($F618="",$E618=""),"",$E618*$F618)</f>
        <v/>
      </c>
      <c r="H618" s="21" t="str">
        <f aca="false">IF(AND($D618="Sortie",$B618&lt;&gt;"",$E618&lt;&gt;""),IFERROR($E618*INDEX(Produits!$E$5:$E$204,MATCH($B618,Produits!$A$5:$A$204,0)),""),"")</f>
        <v/>
      </c>
      <c r="I618" s="23"/>
    </row>
    <row r="619" customFormat="false" ht="15" hidden="false" customHeight="false" outlineLevel="0" collapsed="false">
      <c r="A619" s="27"/>
      <c r="B619" s="23"/>
      <c r="C619" s="26" t="str">
        <f aca="false">IF($B619="","",IFERROR(INDEX(Produits!$B$5:$B$204,MATCH($B619,Produits!$A$5:$A$204,0)),"Code inconnu"))</f>
        <v/>
      </c>
      <c r="D619" s="23"/>
      <c r="E619" s="24"/>
      <c r="F619" s="21" t="str">
        <f aca="false">IF(OR($B619="",$D619=""),"",IFERROR(IF($D619="Entrée",INDEX(Produits!$E$5:$E$204,MATCH($B619,Produits!$A$5:$A$204,0)),INDEX(Produits!$F$5:$F$204,MATCH($B619,Produits!$A$5:$A$204,0))),""))</f>
        <v/>
      </c>
      <c r="G619" s="21" t="str">
        <f aca="false">IF(OR($F619="",$E619=""),"",$E619*$F619)</f>
        <v/>
      </c>
      <c r="H619" s="21" t="str">
        <f aca="false">IF(AND($D619="Sortie",$B619&lt;&gt;"",$E619&lt;&gt;""),IFERROR($E619*INDEX(Produits!$E$5:$E$204,MATCH($B619,Produits!$A$5:$A$204,0)),""),"")</f>
        <v/>
      </c>
      <c r="I619" s="23"/>
    </row>
    <row r="620" customFormat="false" ht="15" hidden="false" customHeight="false" outlineLevel="0" collapsed="false">
      <c r="A620" s="27"/>
      <c r="B620" s="23"/>
      <c r="C620" s="26" t="str">
        <f aca="false">IF($B620="","",IFERROR(INDEX(Produits!$B$5:$B$204,MATCH($B620,Produits!$A$5:$A$204,0)),"Code inconnu"))</f>
        <v/>
      </c>
      <c r="D620" s="23"/>
      <c r="E620" s="24"/>
      <c r="F620" s="21" t="str">
        <f aca="false">IF(OR($B620="",$D620=""),"",IFERROR(IF($D620="Entrée",INDEX(Produits!$E$5:$E$204,MATCH($B620,Produits!$A$5:$A$204,0)),INDEX(Produits!$F$5:$F$204,MATCH($B620,Produits!$A$5:$A$204,0))),""))</f>
        <v/>
      </c>
      <c r="G620" s="21" t="str">
        <f aca="false">IF(OR($F620="",$E620=""),"",$E620*$F620)</f>
        <v/>
      </c>
      <c r="H620" s="21" t="str">
        <f aca="false">IF(AND($D620="Sortie",$B620&lt;&gt;"",$E620&lt;&gt;""),IFERROR($E620*INDEX(Produits!$E$5:$E$204,MATCH($B620,Produits!$A$5:$A$204,0)),""),"")</f>
        <v/>
      </c>
      <c r="I620" s="23"/>
    </row>
    <row r="621" customFormat="false" ht="15" hidden="false" customHeight="false" outlineLevel="0" collapsed="false">
      <c r="A621" s="27"/>
      <c r="B621" s="23"/>
      <c r="C621" s="26" t="str">
        <f aca="false">IF($B621="","",IFERROR(INDEX(Produits!$B$5:$B$204,MATCH($B621,Produits!$A$5:$A$204,0)),"Code inconnu"))</f>
        <v/>
      </c>
      <c r="D621" s="23"/>
      <c r="E621" s="24"/>
      <c r="F621" s="21" t="str">
        <f aca="false">IF(OR($B621="",$D621=""),"",IFERROR(IF($D621="Entrée",INDEX(Produits!$E$5:$E$204,MATCH($B621,Produits!$A$5:$A$204,0)),INDEX(Produits!$F$5:$F$204,MATCH($B621,Produits!$A$5:$A$204,0))),""))</f>
        <v/>
      </c>
      <c r="G621" s="21" t="str">
        <f aca="false">IF(OR($F621="",$E621=""),"",$E621*$F621)</f>
        <v/>
      </c>
      <c r="H621" s="21" t="str">
        <f aca="false">IF(AND($D621="Sortie",$B621&lt;&gt;"",$E621&lt;&gt;""),IFERROR($E621*INDEX(Produits!$E$5:$E$204,MATCH($B621,Produits!$A$5:$A$204,0)),""),"")</f>
        <v/>
      </c>
      <c r="I621" s="23"/>
    </row>
    <row r="622" customFormat="false" ht="15" hidden="false" customHeight="false" outlineLevel="0" collapsed="false">
      <c r="A622" s="27"/>
      <c r="B622" s="23"/>
      <c r="C622" s="26" t="str">
        <f aca="false">IF($B622="","",IFERROR(INDEX(Produits!$B$5:$B$204,MATCH($B622,Produits!$A$5:$A$204,0)),"Code inconnu"))</f>
        <v/>
      </c>
      <c r="D622" s="23"/>
      <c r="E622" s="24"/>
      <c r="F622" s="21" t="str">
        <f aca="false">IF(OR($B622="",$D622=""),"",IFERROR(IF($D622="Entrée",INDEX(Produits!$E$5:$E$204,MATCH($B622,Produits!$A$5:$A$204,0)),INDEX(Produits!$F$5:$F$204,MATCH($B622,Produits!$A$5:$A$204,0))),""))</f>
        <v/>
      </c>
      <c r="G622" s="21" t="str">
        <f aca="false">IF(OR($F622="",$E622=""),"",$E622*$F622)</f>
        <v/>
      </c>
      <c r="H622" s="21" t="str">
        <f aca="false">IF(AND($D622="Sortie",$B622&lt;&gt;"",$E622&lt;&gt;""),IFERROR($E622*INDEX(Produits!$E$5:$E$204,MATCH($B622,Produits!$A$5:$A$204,0)),""),"")</f>
        <v/>
      </c>
      <c r="I622" s="23"/>
    </row>
    <row r="623" customFormat="false" ht="15" hidden="false" customHeight="false" outlineLevel="0" collapsed="false">
      <c r="A623" s="27"/>
      <c r="B623" s="23"/>
      <c r="C623" s="26" t="str">
        <f aca="false">IF($B623="","",IFERROR(INDEX(Produits!$B$5:$B$204,MATCH($B623,Produits!$A$5:$A$204,0)),"Code inconnu"))</f>
        <v/>
      </c>
      <c r="D623" s="23"/>
      <c r="E623" s="24"/>
      <c r="F623" s="21" t="str">
        <f aca="false">IF(OR($B623="",$D623=""),"",IFERROR(IF($D623="Entrée",INDEX(Produits!$E$5:$E$204,MATCH($B623,Produits!$A$5:$A$204,0)),INDEX(Produits!$F$5:$F$204,MATCH($B623,Produits!$A$5:$A$204,0))),""))</f>
        <v/>
      </c>
      <c r="G623" s="21" t="str">
        <f aca="false">IF(OR($F623="",$E623=""),"",$E623*$F623)</f>
        <v/>
      </c>
      <c r="H623" s="21" t="str">
        <f aca="false">IF(AND($D623="Sortie",$B623&lt;&gt;"",$E623&lt;&gt;""),IFERROR($E623*INDEX(Produits!$E$5:$E$204,MATCH($B623,Produits!$A$5:$A$204,0)),""),"")</f>
        <v/>
      </c>
      <c r="I623" s="23"/>
    </row>
    <row r="624" customFormat="false" ht="15" hidden="false" customHeight="false" outlineLevel="0" collapsed="false">
      <c r="A624" s="27"/>
      <c r="B624" s="23"/>
      <c r="C624" s="26" t="str">
        <f aca="false">IF($B624="","",IFERROR(INDEX(Produits!$B$5:$B$204,MATCH($B624,Produits!$A$5:$A$204,0)),"Code inconnu"))</f>
        <v/>
      </c>
      <c r="D624" s="23"/>
      <c r="E624" s="24"/>
      <c r="F624" s="21" t="str">
        <f aca="false">IF(OR($B624="",$D624=""),"",IFERROR(IF($D624="Entrée",INDEX(Produits!$E$5:$E$204,MATCH($B624,Produits!$A$5:$A$204,0)),INDEX(Produits!$F$5:$F$204,MATCH($B624,Produits!$A$5:$A$204,0))),""))</f>
        <v/>
      </c>
      <c r="G624" s="21" t="str">
        <f aca="false">IF(OR($F624="",$E624=""),"",$E624*$F624)</f>
        <v/>
      </c>
      <c r="H624" s="21" t="str">
        <f aca="false">IF(AND($D624="Sortie",$B624&lt;&gt;"",$E624&lt;&gt;""),IFERROR($E624*INDEX(Produits!$E$5:$E$204,MATCH($B624,Produits!$A$5:$A$204,0)),""),"")</f>
        <v/>
      </c>
      <c r="I624" s="23"/>
    </row>
    <row r="625" customFormat="false" ht="15" hidden="false" customHeight="false" outlineLevel="0" collapsed="false">
      <c r="A625" s="27"/>
      <c r="B625" s="23"/>
      <c r="C625" s="26" t="str">
        <f aca="false">IF($B625="","",IFERROR(INDEX(Produits!$B$5:$B$204,MATCH($B625,Produits!$A$5:$A$204,0)),"Code inconnu"))</f>
        <v/>
      </c>
      <c r="D625" s="23"/>
      <c r="E625" s="24"/>
      <c r="F625" s="21" t="str">
        <f aca="false">IF(OR($B625="",$D625=""),"",IFERROR(IF($D625="Entrée",INDEX(Produits!$E$5:$E$204,MATCH($B625,Produits!$A$5:$A$204,0)),INDEX(Produits!$F$5:$F$204,MATCH($B625,Produits!$A$5:$A$204,0))),""))</f>
        <v/>
      </c>
      <c r="G625" s="21" t="str">
        <f aca="false">IF(OR($F625="",$E625=""),"",$E625*$F625)</f>
        <v/>
      </c>
      <c r="H625" s="21" t="str">
        <f aca="false">IF(AND($D625="Sortie",$B625&lt;&gt;"",$E625&lt;&gt;""),IFERROR($E625*INDEX(Produits!$E$5:$E$204,MATCH($B625,Produits!$A$5:$A$204,0)),""),"")</f>
        <v/>
      </c>
      <c r="I625" s="23"/>
    </row>
    <row r="626" customFormat="false" ht="15" hidden="false" customHeight="false" outlineLevel="0" collapsed="false">
      <c r="A626" s="27"/>
      <c r="B626" s="23"/>
      <c r="C626" s="26" t="str">
        <f aca="false">IF($B626="","",IFERROR(INDEX(Produits!$B$5:$B$204,MATCH($B626,Produits!$A$5:$A$204,0)),"Code inconnu"))</f>
        <v/>
      </c>
      <c r="D626" s="23"/>
      <c r="E626" s="24"/>
      <c r="F626" s="21" t="str">
        <f aca="false">IF(OR($B626="",$D626=""),"",IFERROR(IF($D626="Entrée",INDEX(Produits!$E$5:$E$204,MATCH($B626,Produits!$A$5:$A$204,0)),INDEX(Produits!$F$5:$F$204,MATCH($B626,Produits!$A$5:$A$204,0))),""))</f>
        <v/>
      </c>
      <c r="G626" s="21" t="str">
        <f aca="false">IF(OR($F626="",$E626=""),"",$E626*$F626)</f>
        <v/>
      </c>
      <c r="H626" s="21" t="str">
        <f aca="false">IF(AND($D626="Sortie",$B626&lt;&gt;"",$E626&lt;&gt;""),IFERROR($E626*INDEX(Produits!$E$5:$E$204,MATCH($B626,Produits!$A$5:$A$204,0)),""),"")</f>
        <v/>
      </c>
      <c r="I626" s="23"/>
    </row>
    <row r="627" customFormat="false" ht="15" hidden="false" customHeight="false" outlineLevel="0" collapsed="false">
      <c r="A627" s="27"/>
      <c r="B627" s="23"/>
      <c r="C627" s="26" t="str">
        <f aca="false">IF($B627="","",IFERROR(INDEX(Produits!$B$5:$B$204,MATCH($B627,Produits!$A$5:$A$204,0)),"Code inconnu"))</f>
        <v/>
      </c>
      <c r="D627" s="23"/>
      <c r="E627" s="24"/>
      <c r="F627" s="21" t="str">
        <f aca="false">IF(OR($B627="",$D627=""),"",IFERROR(IF($D627="Entrée",INDEX(Produits!$E$5:$E$204,MATCH($B627,Produits!$A$5:$A$204,0)),INDEX(Produits!$F$5:$F$204,MATCH($B627,Produits!$A$5:$A$204,0))),""))</f>
        <v/>
      </c>
      <c r="G627" s="21" t="str">
        <f aca="false">IF(OR($F627="",$E627=""),"",$E627*$F627)</f>
        <v/>
      </c>
      <c r="H627" s="21" t="str">
        <f aca="false">IF(AND($D627="Sortie",$B627&lt;&gt;"",$E627&lt;&gt;""),IFERROR($E627*INDEX(Produits!$E$5:$E$204,MATCH($B627,Produits!$A$5:$A$204,0)),""),"")</f>
        <v/>
      </c>
      <c r="I627" s="23"/>
    </row>
    <row r="628" customFormat="false" ht="15" hidden="false" customHeight="false" outlineLevel="0" collapsed="false">
      <c r="A628" s="27"/>
      <c r="B628" s="23"/>
      <c r="C628" s="26" t="str">
        <f aca="false">IF($B628="","",IFERROR(INDEX(Produits!$B$5:$B$204,MATCH($B628,Produits!$A$5:$A$204,0)),"Code inconnu"))</f>
        <v/>
      </c>
      <c r="D628" s="23"/>
      <c r="E628" s="24"/>
      <c r="F628" s="21" t="str">
        <f aca="false">IF(OR($B628="",$D628=""),"",IFERROR(IF($D628="Entrée",INDEX(Produits!$E$5:$E$204,MATCH($B628,Produits!$A$5:$A$204,0)),INDEX(Produits!$F$5:$F$204,MATCH($B628,Produits!$A$5:$A$204,0))),""))</f>
        <v/>
      </c>
      <c r="G628" s="21" t="str">
        <f aca="false">IF(OR($F628="",$E628=""),"",$E628*$F628)</f>
        <v/>
      </c>
      <c r="H628" s="21" t="str">
        <f aca="false">IF(AND($D628="Sortie",$B628&lt;&gt;"",$E628&lt;&gt;""),IFERROR($E628*INDEX(Produits!$E$5:$E$204,MATCH($B628,Produits!$A$5:$A$204,0)),""),"")</f>
        <v/>
      </c>
      <c r="I628" s="23"/>
    </row>
    <row r="629" customFormat="false" ht="15" hidden="false" customHeight="false" outlineLevel="0" collapsed="false">
      <c r="A629" s="27"/>
      <c r="B629" s="23"/>
      <c r="C629" s="26" t="str">
        <f aca="false">IF($B629="","",IFERROR(INDEX(Produits!$B$5:$B$204,MATCH($B629,Produits!$A$5:$A$204,0)),"Code inconnu"))</f>
        <v/>
      </c>
      <c r="D629" s="23"/>
      <c r="E629" s="24"/>
      <c r="F629" s="21" t="str">
        <f aca="false">IF(OR($B629="",$D629=""),"",IFERROR(IF($D629="Entrée",INDEX(Produits!$E$5:$E$204,MATCH($B629,Produits!$A$5:$A$204,0)),INDEX(Produits!$F$5:$F$204,MATCH($B629,Produits!$A$5:$A$204,0))),""))</f>
        <v/>
      </c>
      <c r="G629" s="21" t="str">
        <f aca="false">IF(OR($F629="",$E629=""),"",$E629*$F629)</f>
        <v/>
      </c>
      <c r="H629" s="21" t="str">
        <f aca="false">IF(AND($D629="Sortie",$B629&lt;&gt;"",$E629&lt;&gt;""),IFERROR($E629*INDEX(Produits!$E$5:$E$204,MATCH($B629,Produits!$A$5:$A$204,0)),""),"")</f>
        <v/>
      </c>
      <c r="I629" s="23"/>
    </row>
    <row r="630" customFormat="false" ht="15" hidden="false" customHeight="false" outlineLevel="0" collapsed="false">
      <c r="A630" s="27"/>
      <c r="B630" s="23"/>
      <c r="C630" s="26" t="str">
        <f aca="false">IF($B630="","",IFERROR(INDEX(Produits!$B$5:$B$204,MATCH($B630,Produits!$A$5:$A$204,0)),"Code inconnu"))</f>
        <v/>
      </c>
      <c r="D630" s="23"/>
      <c r="E630" s="24"/>
      <c r="F630" s="21" t="str">
        <f aca="false">IF(OR($B630="",$D630=""),"",IFERROR(IF($D630="Entrée",INDEX(Produits!$E$5:$E$204,MATCH($B630,Produits!$A$5:$A$204,0)),INDEX(Produits!$F$5:$F$204,MATCH($B630,Produits!$A$5:$A$204,0))),""))</f>
        <v/>
      </c>
      <c r="G630" s="21" t="str">
        <f aca="false">IF(OR($F630="",$E630=""),"",$E630*$F630)</f>
        <v/>
      </c>
      <c r="H630" s="21" t="str">
        <f aca="false">IF(AND($D630="Sortie",$B630&lt;&gt;"",$E630&lt;&gt;""),IFERROR($E630*INDEX(Produits!$E$5:$E$204,MATCH($B630,Produits!$A$5:$A$204,0)),""),"")</f>
        <v/>
      </c>
      <c r="I630" s="23"/>
    </row>
    <row r="631" customFormat="false" ht="15" hidden="false" customHeight="false" outlineLevel="0" collapsed="false">
      <c r="A631" s="27"/>
      <c r="B631" s="23"/>
      <c r="C631" s="26" t="str">
        <f aca="false">IF($B631="","",IFERROR(INDEX(Produits!$B$5:$B$204,MATCH($B631,Produits!$A$5:$A$204,0)),"Code inconnu"))</f>
        <v/>
      </c>
      <c r="D631" s="23"/>
      <c r="E631" s="24"/>
      <c r="F631" s="21" t="str">
        <f aca="false">IF(OR($B631="",$D631=""),"",IFERROR(IF($D631="Entrée",INDEX(Produits!$E$5:$E$204,MATCH($B631,Produits!$A$5:$A$204,0)),INDEX(Produits!$F$5:$F$204,MATCH($B631,Produits!$A$5:$A$204,0))),""))</f>
        <v/>
      </c>
      <c r="G631" s="21" t="str">
        <f aca="false">IF(OR($F631="",$E631=""),"",$E631*$F631)</f>
        <v/>
      </c>
      <c r="H631" s="21" t="str">
        <f aca="false">IF(AND($D631="Sortie",$B631&lt;&gt;"",$E631&lt;&gt;""),IFERROR($E631*INDEX(Produits!$E$5:$E$204,MATCH($B631,Produits!$A$5:$A$204,0)),""),"")</f>
        <v/>
      </c>
      <c r="I631" s="23"/>
    </row>
    <row r="632" customFormat="false" ht="15" hidden="false" customHeight="false" outlineLevel="0" collapsed="false">
      <c r="A632" s="27"/>
      <c r="B632" s="23"/>
      <c r="C632" s="26" t="str">
        <f aca="false">IF($B632="","",IFERROR(INDEX(Produits!$B$5:$B$204,MATCH($B632,Produits!$A$5:$A$204,0)),"Code inconnu"))</f>
        <v/>
      </c>
      <c r="D632" s="23"/>
      <c r="E632" s="24"/>
      <c r="F632" s="21" t="str">
        <f aca="false">IF(OR($B632="",$D632=""),"",IFERROR(IF($D632="Entrée",INDEX(Produits!$E$5:$E$204,MATCH($B632,Produits!$A$5:$A$204,0)),INDEX(Produits!$F$5:$F$204,MATCH($B632,Produits!$A$5:$A$204,0))),""))</f>
        <v/>
      </c>
      <c r="G632" s="21" t="str">
        <f aca="false">IF(OR($F632="",$E632=""),"",$E632*$F632)</f>
        <v/>
      </c>
      <c r="H632" s="21" t="str">
        <f aca="false">IF(AND($D632="Sortie",$B632&lt;&gt;"",$E632&lt;&gt;""),IFERROR($E632*INDEX(Produits!$E$5:$E$204,MATCH($B632,Produits!$A$5:$A$204,0)),""),"")</f>
        <v/>
      </c>
      <c r="I632" s="23"/>
    </row>
    <row r="633" customFormat="false" ht="15" hidden="false" customHeight="false" outlineLevel="0" collapsed="false">
      <c r="A633" s="27"/>
      <c r="B633" s="23"/>
      <c r="C633" s="26" t="str">
        <f aca="false">IF($B633="","",IFERROR(INDEX(Produits!$B$5:$B$204,MATCH($B633,Produits!$A$5:$A$204,0)),"Code inconnu"))</f>
        <v/>
      </c>
      <c r="D633" s="23"/>
      <c r="E633" s="24"/>
      <c r="F633" s="21" t="str">
        <f aca="false">IF(OR($B633="",$D633=""),"",IFERROR(IF($D633="Entrée",INDEX(Produits!$E$5:$E$204,MATCH($B633,Produits!$A$5:$A$204,0)),INDEX(Produits!$F$5:$F$204,MATCH($B633,Produits!$A$5:$A$204,0))),""))</f>
        <v/>
      </c>
      <c r="G633" s="21" t="str">
        <f aca="false">IF(OR($F633="",$E633=""),"",$E633*$F633)</f>
        <v/>
      </c>
      <c r="H633" s="21" t="str">
        <f aca="false">IF(AND($D633="Sortie",$B633&lt;&gt;"",$E633&lt;&gt;""),IFERROR($E633*INDEX(Produits!$E$5:$E$204,MATCH($B633,Produits!$A$5:$A$204,0)),""),"")</f>
        <v/>
      </c>
      <c r="I633" s="23"/>
    </row>
    <row r="634" customFormat="false" ht="15" hidden="false" customHeight="false" outlineLevel="0" collapsed="false">
      <c r="A634" s="27"/>
      <c r="B634" s="23"/>
      <c r="C634" s="26" t="str">
        <f aca="false">IF($B634="","",IFERROR(INDEX(Produits!$B$5:$B$204,MATCH($B634,Produits!$A$5:$A$204,0)),"Code inconnu"))</f>
        <v/>
      </c>
      <c r="D634" s="23"/>
      <c r="E634" s="24"/>
      <c r="F634" s="21" t="str">
        <f aca="false">IF(OR($B634="",$D634=""),"",IFERROR(IF($D634="Entrée",INDEX(Produits!$E$5:$E$204,MATCH($B634,Produits!$A$5:$A$204,0)),INDEX(Produits!$F$5:$F$204,MATCH($B634,Produits!$A$5:$A$204,0))),""))</f>
        <v/>
      </c>
      <c r="G634" s="21" t="str">
        <f aca="false">IF(OR($F634="",$E634=""),"",$E634*$F634)</f>
        <v/>
      </c>
      <c r="H634" s="21" t="str">
        <f aca="false">IF(AND($D634="Sortie",$B634&lt;&gt;"",$E634&lt;&gt;""),IFERROR($E634*INDEX(Produits!$E$5:$E$204,MATCH($B634,Produits!$A$5:$A$204,0)),""),"")</f>
        <v/>
      </c>
      <c r="I634" s="23"/>
    </row>
    <row r="635" customFormat="false" ht="15" hidden="false" customHeight="false" outlineLevel="0" collapsed="false">
      <c r="A635" s="27"/>
      <c r="B635" s="23"/>
      <c r="C635" s="26" t="str">
        <f aca="false">IF($B635="","",IFERROR(INDEX(Produits!$B$5:$B$204,MATCH($B635,Produits!$A$5:$A$204,0)),"Code inconnu"))</f>
        <v/>
      </c>
      <c r="D635" s="23"/>
      <c r="E635" s="24"/>
      <c r="F635" s="21" t="str">
        <f aca="false">IF(OR($B635="",$D635=""),"",IFERROR(IF($D635="Entrée",INDEX(Produits!$E$5:$E$204,MATCH($B635,Produits!$A$5:$A$204,0)),INDEX(Produits!$F$5:$F$204,MATCH($B635,Produits!$A$5:$A$204,0))),""))</f>
        <v/>
      </c>
      <c r="G635" s="21" t="str">
        <f aca="false">IF(OR($F635="",$E635=""),"",$E635*$F635)</f>
        <v/>
      </c>
      <c r="H635" s="21" t="str">
        <f aca="false">IF(AND($D635="Sortie",$B635&lt;&gt;"",$E635&lt;&gt;""),IFERROR($E635*INDEX(Produits!$E$5:$E$204,MATCH($B635,Produits!$A$5:$A$204,0)),""),"")</f>
        <v/>
      </c>
      <c r="I635" s="23"/>
    </row>
    <row r="636" customFormat="false" ht="15" hidden="false" customHeight="false" outlineLevel="0" collapsed="false">
      <c r="A636" s="27"/>
      <c r="B636" s="23"/>
      <c r="C636" s="26" t="str">
        <f aca="false">IF($B636="","",IFERROR(INDEX(Produits!$B$5:$B$204,MATCH($B636,Produits!$A$5:$A$204,0)),"Code inconnu"))</f>
        <v/>
      </c>
      <c r="D636" s="23"/>
      <c r="E636" s="24"/>
      <c r="F636" s="21" t="str">
        <f aca="false">IF(OR($B636="",$D636=""),"",IFERROR(IF($D636="Entrée",INDEX(Produits!$E$5:$E$204,MATCH($B636,Produits!$A$5:$A$204,0)),INDEX(Produits!$F$5:$F$204,MATCH($B636,Produits!$A$5:$A$204,0))),""))</f>
        <v/>
      </c>
      <c r="G636" s="21" t="str">
        <f aca="false">IF(OR($F636="",$E636=""),"",$E636*$F636)</f>
        <v/>
      </c>
      <c r="H636" s="21" t="str">
        <f aca="false">IF(AND($D636="Sortie",$B636&lt;&gt;"",$E636&lt;&gt;""),IFERROR($E636*INDEX(Produits!$E$5:$E$204,MATCH($B636,Produits!$A$5:$A$204,0)),""),"")</f>
        <v/>
      </c>
      <c r="I636" s="23"/>
    </row>
    <row r="637" customFormat="false" ht="15" hidden="false" customHeight="false" outlineLevel="0" collapsed="false">
      <c r="A637" s="27"/>
      <c r="B637" s="23"/>
      <c r="C637" s="26" t="str">
        <f aca="false">IF($B637="","",IFERROR(INDEX(Produits!$B$5:$B$204,MATCH($B637,Produits!$A$5:$A$204,0)),"Code inconnu"))</f>
        <v/>
      </c>
      <c r="D637" s="23"/>
      <c r="E637" s="24"/>
      <c r="F637" s="21" t="str">
        <f aca="false">IF(OR($B637="",$D637=""),"",IFERROR(IF($D637="Entrée",INDEX(Produits!$E$5:$E$204,MATCH($B637,Produits!$A$5:$A$204,0)),INDEX(Produits!$F$5:$F$204,MATCH($B637,Produits!$A$5:$A$204,0))),""))</f>
        <v/>
      </c>
      <c r="G637" s="21" t="str">
        <f aca="false">IF(OR($F637="",$E637=""),"",$E637*$F637)</f>
        <v/>
      </c>
      <c r="H637" s="21" t="str">
        <f aca="false">IF(AND($D637="Sortie",$B637&lt;&gt;"",$E637&lt;&gt;""),IFERROR($E637*INDEX(Produits!$E$5:$E$204,MATCH($B637,Produits!$A$5:$A$204,0)),""),"")</f>
        <v/>
      </c>
      <c r="I637" s="23"/>
    </row>
    <row r="638" customFormat="false" ht="15" hidden="false" customHeight="false" outlineLevel="0" collapsed="false">
      <c r="A638" s="27"/>
      <c r="B638" s="23"/>
      <c r="C638" s="26" t="str">
        <f aca="false">IF($B638="","",IFERROR(INDEX(Produits!$B$5:$B$204,MATCH($B638,Produits!$A$5:$A$204,0)),"Code inconnu"))</f>
        <v/>
      </c>
      <c r="D638" s="23"/>
      <c r="E638" s="24"/>
      <c r="F638" s="21" t="str">
        <f aca="false">IF(OR($B638="",$D638=""),"",IFERROR(IF($D638="Entrée",INDEX(Produits!$E$5:$E$204,MATCH($B638,Produits!$A$5:$A$204,0)),INDEX(Produits!$F$5:$F$204,MATCH($B638,Produits!$A$5:$A$204,0))),""))</f>
        <v/>
      </c>
      <c r="G638" s="21" t="str">
        <f aca="false">IF(OR($F638="",$E638=""),"",$E638*$F638)</f>
        <v/>
      </c>
      <c r="H638" s="21" t="str">
        <f aca="false">IF(AND($D638="Sortie",$B638&lt;&gt;"",$E638&lt;&gt;""),IFERROR($E638*INDEX(Produits!$E$5:$E$204,MATCH($B638,Produits!$A$5:$A$204,0)),""),"")</f>
        <v/>
      </c>
      <c r="I638" s="23"/>
    </row>
    <row r="639" customFormat="false" ht="15" hidden="false" customHeight="false" outlineLevel="0" collapsed="false">
      <c r="A639" s="27"/>
      <c r="B639" s="23"/>
      <c r="C639" s="26" t="str">
        <f aca="false">IF($B639="","",IFERROR(INDEX(Produits!$B$5:$B$204,MATCH($B639,Produits!$A$5:$A$204,0)),"Code inconnu"))</f>
        <v/>
      </c>
      <c r="D639" s="23"/>
      <c r="E639" s="24"/>
      <c r="F639" s="21" t="str">
        <f aca="false">IF(OR($B639="",$D639=""),"",IFERROR(IF($D639="Entrée",INDEX(Produits!$E$5:$E$204,MATCH($B639,Produits!$A$5:$A$204,0)),INDEX(Produits!$F$5:$F$204,MATCH($B639,Produits!$A$5:$A$204,0))),""))</f>
        <v/>
      </c>
      <c r="G639" s="21" t="str">
        <f aca="false">IF(OR($F639="",$E639=""),"",$E639*$F639)</f>
        <v/>
      </c>
      <c r="H639" s="21" t="str">
        <f aca="false">IF(AND($D639="Sortie",$B639&lt;&gt;"",$E639&lt;&gt;""),IFERROR($E639*INDEX(Produits!$E$5:$E$204,MATCH($B639,Produits!$A$5:$A$204,0)),""),"")</f>
        <v/>
      </c>
      <c r="I639" s="23"/>
    </row>
    <row r="640" customFormat="false" ht="15" hidden="false" customHeight="false" outlineLevel="0" collapsed="false">
      <c r="A640" s="27"/>
      <c r="B640" s="23"/>
      <c r="C640" s="26" t="str">
        <f aca="false">IF($B640="","",IFERROR(INDEX(Produits!$B$5:$B$204,MATCH($B640,Produits!$A$5:$A$204,0)),"Code inconnu"))</f>
        <v/>
      </c>
      <c r="D640" s="23"/>
      <c r="E640" s="24"/>
      <c r="F640" s="21" t="str">
        <f aca="false">IF(OR($B640="",$D640=""),"",IFERROR(IF($D640="Entrée",INDEX(Produits!$E$5:$E$204,MATCH($B640,Produits!$A$5:$A$204,0)),INDEX(Produits!$F$5:$F$204,MATCH($B640,Produits!$A$5:$A$204,0))),""))</f>
        <v/>
      </c>
      <c r="G640" s="21" t="str">
        <f aca="false">IF(OR($F640="",$E640=""),"",$E640*$F640)</f>
        <v/>
      </c>
      <c r="H640" s="21" t="str">
        <f aca="false">IF(AND($D640="Sortie",$B640&lt;&gt;"",$E640&lt;&gt;""),IFERROR($E640*INDEX(Produits!$E$5:$E$204,MATCH($B640,Produits!$A$5:$A$204,0)),""),"")</f>
        <v/>
      </c>
      <c r="I640" s="23"/>
    </row>
    <row r="641" customFormat="false" ht="15" hidden="false" customHeight="false" outlineLevel="0" collapsed="false">
      <c r="A641" s="27"/>
      <c r="B641" s="23"/>
      <c r="C641" s="26" t="str">
        <f aca="false">IF($B641="","",IFERROR(INDEX(Produits!$B$5:$B$204,MATCH($B641,Produits!$A$5:$A$204,0)),"Code inconnu"))</f>
        <v/>
      </c>
      <c r="D641" s="23"/>
      <c r="E641" s="24"/>
      <c r="F641" s="21" t="str">
        <f aca="false">IF(OR($B641="",$D641=""),"",IFERROR(IF($D641="Entrée",INDEX(Produits!$E$5:$E$204,MATCH($B641,Produits!$A$5:$A$204,0)),INDEX(Produits!$F$5:$F$204,MATCH($B641,Produits!$A$5:$A$204,0))),""))</f>
        <v/>
      </c>
      <c r="G641" s="21" t="str">
        <f aca="false">IF(OR($F641="",$E641=""),"",$E641*$F641)</f>
        <v/>
      </c>
      <c r="H641" s="21" t="str">
        <f aca="false">IF(AND($D641="Sortie",$B641&lt;&gt;"",$E641&lt;&gt;""),IFERROR($E641*INDEX(Produits!$E$5:$E$204,MATCH($B641,Produits!$A$5:$A$204,0)),""),"")</f>
        <v/>
      </c>
      <c r="I641" s="23"/>
    </row>
    <row r="642" customFormat="false" ht="15" hidden="false" customHeight="false" outlineLevel="0" collapsed="false">
      <c r="A642" s="27"/>
      <c r="B642" s="23"/>
      <c r="C642" s="26" t="str">
        <f aca="false">IF($B642="","",IFERROR(INDEX(Produits!$B$5:$B$204,MATCH($B642,Produits!$A$5:$A$204,0)),"Code inconnu"))</f>
        <v/>
      </c>
      <c r="D642" s="23"/>
      <c r="E642" s="24"/>
      <c r="F642" s="21" t="str">
        <f aca="false">IF(OR($B642="",$D642=""),"",IFERROR(IF($D642="Entrée",INDEX(Produits!$E$5:$E$204,MATCH($B642,Produits!$A$5:$A$204,0)),INDEX(Produits!$F$5:$F$204,MATCH($B642,Produits!$A$5:$A$204,0))),""))</f>
        <v/>
      </c>
      <c r="G642" s="21" t="str">
        <f aca="false">IF(OR($F642="",$E642=""),"",$E642*$F642)</f>
        <v/>
      </c>
      <c r="H642" s="21" t="str">
        <f aca="false">IF(AND($D642="Sortie",$B642&lt;&gt;"",$E642&lt;&gt;""),IFERROR($E642*INDEX(Produits!$E$5:$E$204,MATCH($B642,Produits!$A$5:$A$204,0)),""),"")</f>
        <v/>
      </c>
      <c r="I642" s="23"/>
    </row>
    <row r="643" customFormat="false" ht="15" hidden="false" customHeight="false" outlineLevel="0" collapsed="false">
      <c r="A643" s="27"/>
      <c r="B643" s="23"/>
      <c r="C643" s="26" t="str">
        <f aca="false">IF($B643="","",IFERROR(INDEX(Produits!$B$5:$B$204,MATCH($B643,Produits!$A$5:$A$204,0)),"Code inconnu"))</f>
        <v/>
      </c>
      <c r="D643" s="23"/>
      <c r="E643" s="24"/>
      <c r="F643" s="21" t="str">
        <f aca="false">IF(OR($B643="",$D643=""),"",IFERROR(IF($D643="Entrée",INDEX(Produits!$E$5:$E$204,MATCH($B643,Produits!$A$5:$A$204,0)),INDEX(Produits!$F$5:$F$204,MATCH($B643,Produits!$A$5:$A$204,0))),""))</f>
        <v/>
      </c>
      <c r="G643" s="21" t="str">
        <f aca="false">IF(OR($F643="",$E643=""),"",$E643*$F643)</f>
        <v/>
      </c>
      <c r="H643" s="21" t="str">
        <f aca="false">IF(AND($D643="Sortie",$B643&lt;&gt;"",$E643&lt;&gt;""),IFERROR($E643*INDEX(Produits!$E$5:$E$204,MATCH($B643,Produits!$A$5:$A$204,0)),""),"")</f>
        <v/>
      </c>
      <c r="I643" s="23"/>
    </row>
    <row r="644" customFormat="false" ht="15" hidden="false" customHeight="false" outlineLevel="0" collapsed="false">
      <c r="A644" s="27"/>
      <c r="B644" s="23"/>
      <c r="C644" s="26" t="str">
        <f aca="false">IF($B644="","",IFERROR(INDEX(Produits!$B$5:$B$204,MATCH($B644,Produits!$A$5:$A$204,0)),"Code inconnu"))</f>
        <v/>
      </c>
      <c r="D644" s="23"/>
      <c r="E644" s="24"/>
      <c r="F644" s="21" t="str">
        <f aca="false">IF(OR($B644="",$D644=""),"",IFERROR(IF($D644="Entrée",INDEX(Produits!$E$5:$E$204,MATCH($B644,Produits!$A$5:$A$204,0)),INDEX(Produits!$F$5:$F$204,MATCH($B644,Produits!$A$5:$A$204,0))),""))</f>
        <v/>
      </c>
      <c r="G644" s="21" t="str">
        <f aca="false">IF(OR($F644="",$E644=""),"",$E644*$F644)</f>
        <v/>
      </c>
      <c r="H644" s="21" t="str">
        <f aca="false">IF(AND($D644="Sortie",$B644&lt;&gt;"",$E644&lt;&gt;""),IFERROR($E644*INDEX(Produits!$E$5:$E$204,MATCH($B644,Produits!$A$5:$A$204,0)),""),"")</f>
        <v/>
      </c>
      <c r="I644" s="23"/>
    </row>
    <row r="645" customFormat="false" ht="15" hidden="false" customHeight="false" outlineLevel="0" collapsed="false">
      <c r="A645" s="27"/>
      <c r="B645" s="23"/>
      <c r="C645" s="26" t="str">
        <f aca="false">IF($B645="","",IFERROR(INDEX(Produits!$B$5:$B$204,MATCH($B645,Produits!$A$5:$A$204,0)),"Code inconnu"))</f>
        <v/>
      </c>
      <c r="D645" s="23"/>
      <c r="E645" s="24"/>
      <c r="F645" s="21" t="str">
        <f aca="false">IF(OR($B645="",$D645=""),"",IFERROR(IF($D645="Entrée",INDEX(Produits!$E$5:$E$204,MATCH($B645,Produits!$A$5:$A$204,0)),INDEX(Produits!$F$5:$F$204,MATCH($B645,Produits!$A$5:$A$204,0))),""))</f>
        <v/>
      </c>
      <c r="G645" s="21" t="str">
        <f aca="false">IF(OR($F645="",$E645=""),"",$E645*$F645)</f>
        <v/>
      </c>
      <c r="H645" s="21" t="str">
        <f aca="false">IF(AND($D645="Sortie",$B645&lt;&gt;"",$E645&lt;&gt;""),IFERROR($E645*INDEX(Produits!$E$5:$E$204,MATCH($B645,Produits!$A$5:$A$204,0)),""),"")</f>
        <v/>
      </c>
      <c r="I645" s="23"/>
    </row>
    <row r="646" customFormat="false" ht="15" hidden="false" customHeight="false" outlineLevel="0" collapsed="false">
      <c r="A646" s="27"/>
      <c r="B646" s="23"/>
      <c r="C646" s="26" t="str">
        <f aca="false">IF($B646="","",IFERROR(INDEX(Produits!$B$5:$B$204,MATCH($B646,Produits!$A$5:$A$204,0)),"Code inconnu"))</f>
        <v/>
      </c>
      <c r="D646" s="23"/>
      <c r="E646" s="24"/>
      <c r="F646" s="21" t="str">
        <f aca="false">IF(OR($B646="",$D646=""),"",IFERROR(IF($D646="Entrée",INDEX(Produits!$E$5:$E$204,MATCH($B646,Produits!$A$5:$A$204,0)),INDEX(Produits!$F$5:$F$204,MATCH($B646,Produits!$A$5:$A$204,0))),""))</f>
        <v/>
      </c>
      <c r="G646" s="21" t="str">
        <f aca="false">IF(OR($F646="",$E646=""),"",$E646*$F646)</f>
        <v/>
      </c>
      <c r="H646" s="21" t="str">
        <f aca="false">IF(AND($D646="Sortie",$B646&lt;&gt;"",$E646&lt;&gt;""),IFERROR($E646*INDEX(Produits!$E$5:$E$204,MATCH($B646,Produits!$A$5:$A$204,0)),""),"")</f>
        <v/>
      </c>
      <c r="I646" s="23"/>
    </row>
    <row r="647" customFormat="false" ht="15" hidden="false" customHeight="false" outlineLevel="0" collapsed="false">
      <c r="A647" s="27"/>
      <c r="B647" s="23"/>
      <c r="C647" s="26" t="str">
        <f aca="false">IF($B647="","",IFERROR(INDEX(Produits!$B$5:$B$204,MATCH($B647,Produits!$A$5:$A$204,0)),"Code inconnu"))</f>
        <v/>
      </c>
      <c r="D647" s="23"/>
      <c r="E647" s="24"/>
      <c r="F647" s="21" t="str">
        <f aca="false">IF(OR($B647="",$D647=""),"",IFERROR(IF($D647="Entrée",INDEX(Produits!$E$5:$E$204,MATCH($B647,Produits!$A$5:$A$204,0)),INDEX(Produits!$F$5:$F$204,MATCH($B647,Produits!$A$5:$A$204,0))),""))</f>
        <v/>
      </c>
      <c r="G647" s="21" t="str">
        <f aca="false">IF(OR($F647="",$E647=""),"",$E647*$F647)</f>
        <v/>
      </c>
      <c r="H647" s="21" t="str">
        <f aca="false">IF(AND($D647="Sortie",$B647&lt;&gt;"",$E647&lt;&gt;""),IFERROR($E647*INDEX(Produits!$E$5:$E$204,MATCH($B647,Produits!$A$5:$A$204,0)),""),"")</f>
        <v/>
      </c>
      <c r="I647" s="23"/>
    </row>
    <row r="648" customFormat="false" ht="15" hidden="false" customHeight="false" outlineLevel="0" collapsed="false">
      <c r="A648" s="27"/>
      <c r="B648" s="23"/>
      <c r="C648" s="26" t="str">
        <f aca="false">IF($B648="","",IFERROR(INDEX(Produits!$B$5:$B$204,MATCH($B648,Produits!$A$5:$A$204,0)),"Code inconnu"))</f>
        <v/>
      </c>
      <c r="D648" s="23"/>
      <c r="E648" s="24"/>
      <c r="F648" s="21" t="str">
        <f aca="false">IF(OR($B648="",$D648=""),"",IFERROR(IF($D648="Entrée",INDEX(Produits!$E$5:$E$204,MATCH($B648,Produits!$A$5:$A$204,0)),INDEX(Produits!$F$5:$F$204,MATCH($B648,Produits!$A$5:$A$204,0))),""))</f>
        <v/>
      </c>
      <c r="G648" s="21" t="str">
        <f aca="false">IF(OR($F648="",$E648=""),"",$E648*$F648)</f>
        <v/>
      </c>
      <c r="H648" s="21" t="str">
        <f aca="false">IF(AND($D648="Sortie",$B648&lt;&gt;"",$E648&lt;&gt;""),IFERROR($E648*INDEX(Produits!$E$5:$E$204,MATCH($B648,Produits!$A$5:$A$204,0)),""),"")</f>
        <v/>
      </c>
      <c r="I648" s="23"/>
    </row>
    <row r="649" customFormat="false" ht="15" hidden="false" customHeight="false" outlineLevel="0" collapsed="false">
      <c r="A649" s="27"/>
      <c r="B649" s="23"/>
      <c r="C649" s="26" t="str">
        <f aca="false">IF($B649="","",IFERROR(INDEX(Produits!$B$5:$B$204,MATCH($B649,Produits!$A$5:$A$204,0)),"Code inconnu"))</f>
        <v/>
      </c>
      <c r="D649" s="23"/>
      <c r="E649" s="24"/>
      <c r="F649" s="21" t="str">
        <f aca="false">IF(OR($B649="",$D649=""),"",IFERROR(IF($D649="Entrée",INDEX(Produits!$E$5:$E$204,MATCH($B649,Produits!$A$5:$A$204,0)),INDEX(Produits!$F$5:$F$204,MATCH($B649,Produits!$A$5:$A$204,0))),""))</f>
        <v/>
      </c>
      <c r="G649" s="21" t="str">
        <f aca="false">IF(OR($F649="",$E649=""),"",$E649*$F649)</f>
        <v/>
      </c>
      <c r="H649" s="21" t="str">
        <f aca="false">IF(AND($D649="Sortie",$B649&lt;&gt;"",$E649&lt;&gt;""),IFERROR($E649*INDEX(Produits!$E$5:$E$204,MATCH($B649,Produits!$A$5:$A$204,0)),""),"")</f>
        <v/>
      </c>
      <c r="I649" s="23"/>
    </row>
    <row r="650" customFormat="false" ht="15" hidden="false" customHeight="false" outlineLevel="0" collapsed="false">
      <c r="A650" s="27"/>
      <c r="B650" s="23"/>
      <c r="C650" s="26" t="str">
        <f aca="false">IF($B650="","",IFERROR(INDEX(Produits!$B$5:$B$204,MATCH($B650,Produits!$A$5:$A$204,0)),"Code inconnu"))</f>
        <v/>
      </c>
      <c r="D650" s="23"/>
      <c r="E650" s="24"/>
      <c r="F650" s="21" t="str">
        <f aca="false">IF(OR($B650="",$D650=""),"",IFERROR(IF($D650="Entrée",INDEX(Produits!$E$5:$E$204,MATCH($B650,Produits!$A$5:$A$204,0)),INDEX(Produits!$F$5:$F$204,MATCH($B650,Produits!$A$5:$A$204,0))),""))</f>
        <v/>
      </c>
      <c r="G650" s="21" t="str">
        <f aca="false">IF(OR($F650="",$E650=""),"",$E650*$F650)</f>
        <v/>
      </c>
      <c r="H650" s="21" t="str">
        <f aca="false">IF(AND($D650="Sortie",$B650&lt;&gt;"",$E650&lt;&gt;""),IFERROR($E650*INDEX(Produits!$E$5:$E$204,MATCH($B650,Produits!$A$5:$A$204,0)),""),"")</f>
        <v/>
      </c>
      <c r="I650" s="23"/>
    </row>
    <row r="651" customFormat="false" ht="15" hidden="false" customHeight="false" outlineLevel="0" collapsed="false">
      <c r="A651" s="27"/>
      <c r="B651" s="23"/>
      <c r="C651" s="26" t="str">
        <f aca="false">IF($B651="","",IFERROR(INDEX(Produits!$B$5:$B$204,MATCH($B651,Produits!$A$5:$A$204,0)),"Code inconnu"))</f>
        <v/>
      </c>
      <c r="D651" s="23"/>
      <c r="E651" s="24"/>
      <c r="F651" s="21" t="str">
        <f aca="false">IF(OR($B651="",$D651=""),"",IFERROR(IF($D651="Entrée",INDEX(Produits!$E$5:$E$204,MATCH($B651,Produits!$A$5:$A$204,0)),INDEX(Produits!$F$5:$F$204,MATCH($B651,Produits!$A$5:$A$204,0))),""))</f>
        <v/>
      </c>
      <c r="G651" s="21" t="str">
        <f aca="false">IF(OR($F651="",$E651=""),"",$E651*$F651)</f>
        <v/>
      </c>
      <c r="H651" s="21" t="str">
        <f aca="false">IF(AND($D651="Sortie",$B651&lt;&gt;"",$E651&lt;&gt;""),IFERROR($E651*INDEX(Produits!$E$5:$E$204,MATCH($B651,Produits!$A$5:$A$204,0)),""),"")</f>
        <v/>
      </c>
      <c r="I651" s="23"/>
    </row>
    <row r="652" customFormat="false" ht="15" hidden="false" customHeight="false" outlineLevel="0" collapsed="false">
      <c r="A652" s="27"/>
      <c r="B652" s="23"/>
      <c r="C652" s="26" t="str">
        <f aca="false">IF($B652="","",IFERROR(INDEX(Produits!$B$5:$B$204,MATCH($B652,Produits!$A$5:$A$204,0)),"Code inconnu"))</f>
        <v/>
      </c>
      <c r="D652" s="23"/>
      <c r="E652" s="24"/>
      <c r="F652" s="21" t="str">
        <f aca="false">IF(OR($B652="",$D652=""),"",IFERROR(IF($D652="Entrée",INDEX(Produits!$E$5:$E$204,MATCH($B652,Produits!$A$5:$A$204,0)),INDEX(Produits!$F$5:$F$204,MATCH($B652,Produits!$A$5:$A$204,0))),""))</f>
        <v/>
      </c>
      <c r="G652" s="21" t="str">
        <f aca="false">IF(OR($F652="",$E652=""),"",$E652*$F652)</f>
        <v/>
      </c>
      <c r="H652" s="21" t="str">
        <f aca="false">IF(AND($D652="Sortie",$B652&lt;&gt;"",$E652&lt;&gt;""),IFERROR($E652*INDEX(Produits!$E$5:$E$204,MATCH($B652,Produits!$A$5:$A$204,0)),""),"")</f>
        <v/>
      </c>
      <c r="I652" s="23"/>
    </row>
    <row r="653" customFormat="false" ht="15" hidden="false" customHeight="false" outlineLevel="0" collapsed="false">
      <c r="A653" s="27"/>
      <c r="B653" s="23"/>
      <c r="C653" s="26" t="str">
        <f aca="false">IF($B653="","",IFERROR(INDEX(Produits!$B$5:$B$204,MATCH($B653,Produits!$A$5:$A$204,0)),"Code inconnu"))</f>
        <v/>
      </c>
      <c r="D653" s="23"/>
      <c r="E653" s="24"/>
      <c r="F653" s="21" t="str">
        <f aca="false">IF(OR($B653="",$D653=""),"",IFERROR(IF($D653="Entrée",INDEX(Produits!$E$5:$E$204,MATCH($B653,Produits!$A$5:$A$204,0)),INDEX(Produits!$F$5:$F$204,MATCH($B653,Produits!$A$5:$A$204,0))),""))</f>
        <v/>
      </c>
      <c r="G653" s="21" t="str">
        <f aca="false">IF(OR($F653="",$E653=""),"",$E653*$F653)</f>
        <v/>
      </c>
      <c r="H653" s="21" t="str">
        <f aca="false">IF(AND($D653="Sortie",$B653&lt;&gt;"",$E653&lt;&gt;""),IFERROR($E653*INDEX(Produits!$E$5:$E$204,MATCH($B653,Produits!$A$5:$A$204,0)),""),"")</f>
        <v/>
      </c>
      <c r="I653" s="23"/>
    </row>
    <row r="654" customFormat="false" ht="15" hidden="false" customHeight="false" outlineLevel="0" collapsed="false">
      <c r="A654" s="27"/>
      <c r="B654" s="23"/>
      <c r="C654" s="26" t="str">
        <f aca="false">IF($B654="","",IFERROR(INDEX(Produits!$B$5:$B$204,MATCH($B654,Produits!$A$5:$A$204,0)),"Code inconnu"))</f>
        <v/>
      </c>
      <c r="D654" s="23"/>
      <c r="E654" s="24"/>
      <c r="F654" s="21" t="str">
        <f aca="false">IF(OR($B654="",$D654=""),"",IFERROR(IF($D654="Entrée",INDEX(Produits!$E$5:$E$204,MATCH($B654,Produits!$A$5:$A$204,0)),INDEX(Produits!$F$5:$F$204,MATCH($B654,Produits!$A$5:$A$204,0))),""))</f>
        <v/>
      </c>
      <c r="G654" s="21" t="str">
        <f aca="false">IF(OR($F654="",$E654=""),"",$E654*$F654)</f>
        <v/>
      </c>
      <c r="H654" s="21" t="str">
        <f aca="false">IF(AND($D654="Sortie",$B654&lt;&gt;"",$E654&lt;&gt;""),IFERROR($E654*INDEX(Produits!$E$5:$E$204,MATCH($B654,Produits!$A$5:$A$204,0)),""),"")</f>
        <v/>
      </c>
      <c r="I654" s="23"/>
    </row>
    <row r="655" customFormat="false" ht="15" hidden="false" customHeight="false" outlineLevel="0" collapsed="false">
      <c r="A655" s="27"/>
      <c r="B655" s="23"/>
      <c r="C655" s="26" t="str">
        <f aca="false">IF($B655="","",IFERROR(INDEX(Produits!$B$5:$B$204,MATCH($B655,Produits!$A$5:$A$204,0)),"Code inconnu"))</f>
        <v/>
      </c>
      <c r="D655" s="23"/>
      <c r="E655" s="24"/>
      <c r="F655" s="21" t="str">
        <f aca="false">IF(OR($B655="",$D655=""),"",IFERROR(IF($D655="Entrée",INDEX(Produits!$E$5:$E$204,MATCH($B655,Produits!$A$5:$A$204,0)),INDEX(Produits!$F$5:$F$204,MATCH($B655,Produits!$A$5:$A$204,0))),""))</f>
        <v/>
      </c>
      <c r="G655" s="21" t="str">
        <f aca="false">IF(OR($F655="",$E655=""),"",$E655*$F655)</f>
        <v/>
      </c>
      <c r="H655" s="21" t="str">
        <f aca="false">IF(AND($D655="Sortie",$B655&lt;&gt;"",$E655&lt;&gt;""),IFERROR($E655*INDEX(Produits!$E$5:$E$204,MATCH($B655,Produits!$A$5:$A$204,0)),""),"")</f>
        <v/>
      </c>
      <c r="I655" s="23"/>
    </row>
    <row r="656" customFormat="false" ht="15" hidden="false" customHeight="false" outlineLevel="0" collapsed="false">
      <c r="A656" s="27"/>
      <c r="B656" s="23"/>
      <c r="C656" s="26" t="str">
        <f aca="false">IF($B656="","",IFERROR(INDEX(Produits!$B$5:$B$204,MATCH($B656,Produits!$A$5:$A$204,0)),"Code inconnu"))</f>
        <v/>
      </c>
      <c r="D656" s="23"/>
      <c r="E656" s="24"/>
      <c r="F656" s="21" t="str">
        <f aca="false">IF(OR($B656="",$D656=""),"",IFERROR(IF($D656="Entrée",INDEX(Produits!$E$5:$E$204,MATCH($B656,Produits!$A$5:$A$204,0)),INDEX(Produits!$F$5:$F$204,MATCH($B656,Produits!$A$5:$A$204,0))),""))</f>
        <v/>
      </c>
      <c r="G656" s="21" t="str">
        <f aca="false">IF(OR($F656="",$E656=""),"",$E656*$F656)</f>
        <v/>
      </c>
      <c r="H656" s="21" t="str">
        <f aca="false">IF(AND($D656="Sortie",$B656&lt;&gt;"",$E656&lt;&gt;""),IFERROR($E656*INDEX(Produits!$E$5:$E$204,MATCH($B656,Produits!$A$5:$A$204,0)),""),"")</f>
        <v/>
      </c>
      <c r="I656" s="23"/>
    </row>
    <row r="657" customFormat="false" ht="15" hidden="false" customHeight="false" outlineLevel="0" collapsed="false">
      <c r="A657" s="27"/>
      <c r="B657" s="23"/>
      <c r="C657" s="26" t="str">
        <f aca="false">IF($B657="","",IFERROR(INDEX(Produits!$B$5:$B$204,MATCH($B657,Produits!$A$5:$A$204,0)),"Code inconnu"))</f>
        <v/>
      </c>
      <c r="D657" s="23"/>
      <c r="E657" s="24"/>
      <c r="F657" s="21" t="str">
        <f aca="false">IF(OR($B657="",$D657=""),"",IFERROR(IF($D657="Entrée",INDEX(Produits!$E$5:$E$204,MATCH($B657,Produits!$A$5:$A$204,0)),INDEX(Produits!$F$5:$F$204,MATCH($B657,Produits!$A$5:$A$204,0))),""))</f>
        <v/>
      </c>
      <c r="G657" s="21" t="str">
        <f aca="false">IF(OR($F657="",$E657=""),"",$E657*$F657)</f>
        <v/>
      </c>
      <c r="H657" s="21" t="str">
        <f aca="false">IF(AND($D657="Sortie",$B657&lt;&gt;"",$E657&lt;&gt;""),IFERROR($E657*INDEX(Produits!$E$5:$E$204,MATCH($B657,Produits!$A$5:$A$204,0)),""),"")</f>
        <v/>
      </c>
      <c r="I657" s="23"/>
    </row>
    <row r="658" customFormat="false" ht="15" hidden="false" customHeight="false" outlineLevel="0" collapsed="false">
      <c r="A658" s="27"/>
      <c r="B658" s="23"/>
      <c r="C658" s="26" t="str">
        <f aca="false">IF($B658="","",IFERROR(INDEX(Produits!$B$5:$B$204,MATCH($B658,Produits!$A$5:$A$204,0)),"Code inconnu"))</f>
        <v/>
      </c>
      <c r="D658" s="23"/>
      <c r="E658" s="24"/>
      <c r="F658" s="21" t="str">
        <f aca="false">IF(OR($B658="",$D658=""),"",IFERROR(IF($D658="Entrée",INDEX(Produits!$E$5:$E$204,MATCH($B658,Produits!$A$5:$A$204,0)),INDEX(Produits!$F$5:$F$204,MATCH($B658,Produits!$A$5:$A$204,0))),""))</f>
        <v/>
      </c>
      <c r="G658" s="21" t="str">
        <f aca="false">IF(OR($F658="",$E658=""),"",$E658*$F658)</f>
        <v/>
      </c>
      <c r="H658" s="21" t="str">
        <f aca="false">IF(AND($D658="Sortie",$B658&lt;&gt;"",$E658&lt;&gt;""),IFERROR($E658*INDEX(Produits!$E$5:$E$204,MATCH($B658,Produits!$A$5:$A$204,0)),""),"")</f>
        <v/>
      </c>
      <c r="I658" s="23"/>
    </row>
    <row r="659" customFormat="false" ht="15" hidden="false" customHeight="false" outlineLevel="0" collapsed="false">
      <c r="A659" s="27"/>
      <c r="B659" s="23"/>
      <c r="C659" s="26" t="str">
        <f aca="false">IF($B659="","",IFERROR(INDEX(Produits!$B$5:$B$204,MATCH($B659,Produits!$A$5:$A$204,0)),"Code inconnu"))</f>
        <v/>
      </c>
      <c r="D659" s="23"/>
      <c r="E659" s="24"/>
      <c r="F659" s="21" t="str">
        <f aca="false">IF(OR($B659="",$D659=""),"",IFERROR(IF($D659="Entrée",INDEX(Produits!$E$5:$E$204,MATCH($B659,Produits!$A$5:$A$204,0)),INDEX(Produits!$F$5:$F$204,MATCH($B659,Produits!$A$5:$A$204,0))),""))</f>
        <v/>
      </c>
      <c r="G659" s="21" t="str">
        <f aca="false">IF(OR($F659="",$E659=""),"",$E659*$F659)</f>
        <v/>
      </c>
      <c r="H659" s="21" t="str">
        <f aca="false">IF(AND($D659="Sortie",$B659&lt;&gt;"",$E659&lt;&gt;""),IFERROR($E659*INDEX(Produits!$E$5:$E$204,MATCH($B659,Produits!$A$5:$A$204,0)),""),"")</f>
        <v/>
      </c>
      <c r="I659" s="23"/>
    </row>
    <row r="660" customFormat="false" ht="15" hidden="false" customHeight="false" outlineLevel="0" collapsed="false">
      <c r="A660" s="27"/>
      <c r="B660" s="23"/>
      <c r="C660" s="26" t="str">
        <f aca="false">IF($B660="","",IFERROR(INDEX(Produits!$B$5:$B$204,MATCH($B660,Produits!$A$5:$A$204,0)),"Code inconnu"))</f>
        <v/>
      </c>
      <c r="D660" s="23"/>
      <c r="E660" s="24"/>
      <c r="F660" s="21" t="str">
        <f aca="false">IF(OR($B660="",$D660=""),"",IFERROR(IF($D660="Entrée",INDEX(Produits!$E$5:$E$204,MATCH($B660,Produits!$A$5:$A$204,0)),INDEX(Produits!$F$5:$F$204,MATCH($B660,Produits!$A$5:$A$204,0))),""))</f>
        <v/>
      </c>
      <c r="G660" s="21" t="str">
        <f aca="false">IF(OR($F660="",$E660=""),"",$E660*$F660)</f>
        <v/>
      </c>
      <c r="H660" s="21" t="str">
        <f aca="false">IF(AND($D660="Sortie",$B660&lt;&gt;"",$E660&lt;&gt;""),IFERROR($E660*INDEX(Produits!$E$5:$E$204,MATCH($B660,Produits!$A$5:$A$204,0)),""),"")</f>
        <v/>
      </c>
      <c r="I660" s="23"/>
    </row>
    <row r="661" customFormat="false" ht="15" hidden="false" customHeight="false" outlineLevel="0" collapsed="false">
      <c r="A661" s="27"/>
      <c r="B661" s="23"/>
      <c r="C661" s="26" t="str">
        <f aca="false">IF($B661="","",IFERROR(INDEX(Produits!$B$5:$B$204,MATCH($B661,Produits!$A$5:$A$204,0)),"Code inconnu"))</f>
        <v/>
      </c>
      <c r="D661" s="23"/>
      <c r="E661" s="24"/>
      <c r="F661" s="21" t="str">
        <f aca="false">IF(OR($B661="",$D661=""),"",IFERROR(IF($D661="Entrée",INDEX(Produits!$E$5:$E$204,MATCH($B661,Produits!$A$5:$A$204,0)),INDEX(Produits!$F$5:$F$204,MATCH($B661,Produits!$A$5:$A$204,0))),""))</f>
        <v/>
      </c>
      <c r="G661" s="21" t="str">
        <f aca="false">IF(OR($F661="",$E661=""),"",$E661*$F661)</f>
        <v/>
      </c>
      <c r="H661" s="21" t="str">
        <f aca="false">IF(AND($D661="Sortie",$B661&lt;&gt;"",$E661&lt;&gt;""),IFERROR($E661*INDEX(Produits!$E$5:$E$204,MATCH($B661,Produits!$A$5:$A$204,0)),""),"")</f>
        <v/>
      </c>
      <c r="I661" s="23"/>
    </row>
    <row r="662" customFormat="false" ht="15" hidden="false" customHeight="false" outlineLevel="0" collapsed="false">
      <c r="A662" s="27"/>
      <c r="B662" s="23"/>
      <c r="C662" s="26" t="str">
        <f aca="false">IF($B662="","",IFERROR(INDEX(Produits!$B$5:$B$204,MATCH($B662,Produits!$A$5:$A$204,0)),"Code inconnu"))</f>
        <v/>
      </c>
      <c r="D662" s="23"/>
      <c r="E662" s="24"/>
      <c r="F662" s="21" t="str">
        <f aca="false">IF(OR($B662="",$D662=""),"",IFERROR(IF($D662="Entrée",INDEX(Produits!$E$5:$E$204,MATCH($B662,Produits!$A$5:$A$204,0)),INDEX(Produits!$F$5:$F$204,MATCH($B662,Produits!$A$5:$A$204,0))),""))</f>
        <v/>
      </c>
      <c r="G662" s="21" t="str">
        <f aca="false">IF(OR($F662="",$E662=""),"",$E662*$F662)</f>
        <v/>
      </c>
      <c r="H662" s="21" t="str">
        <f aca="false">IF(AND($D662="Sortie",$B662&lt;&gt;"",$E662&lt;&gt;""),IFERROR($E662*INDEX(Produits!$E$5:$E$204,MATCH($B662,Produits!$A$5:$A$204,0)),""),"")</f>
        <v/>
      </c>
      <c r="I662" s="23"/>
    </row>
    <row r="663" customFormat="false" ht="15" hidden="false" customHeight="false" outlineLevel="0" collapsed="false">
      <c r="A663" s="27"/>
      <c r="B663" s="23"/>
      <c r="C663" s="26" t="str">
        <f aca="false">IF($B663="","",IFERROR(INDEX(Produits!$B$5:$B$204,MATCH($B663,Produits!$A$5:$A$204,0)),"Code inconnu"))</f>
        <v/>
      </c>
      <c r="D663" s="23"/>
      <c r="E663" s="24"/>
      <c r="F663" s="21" t="str">
        <f aca="false">IF(OR($B663="",$D663=""),"",IFERROR(IF($D663="Entrée",INDEX(Produits!$E$5:$E$204,MATCH($B663,Produits!$A$5:$A$204,0)),INDEX(Produits!$F$5:$F$204,MATCH($B663,Produits!$A$5:$A$204,0))),""))</f>
        <v/>
      </c>
      <c r="G663" s="21" t="str">
        <f aca="false">IF(OR($F663="",$E663=""),"",$E663*$F663)</f>
        <v/>
      </c>
      <c r="H663" s="21" t="str">
        <f aca="false">IF(AND($D663="Sortie",$B663&lt;&gt;"",$E663&lt;&gt;""),IFERROR($E663*INDEX(Produits!$E$5:$E$204,MATCH($B663,Produits!$A$5:$A$204,0)),""),"")</f>
        <v/>
      </c>
      <c r="I663" s="23"/>
    </row>
    <row r="664" customFormat="false" ht="15" hidden="false" customHeight="false" outlineLevel="0" collapsed="false">
      <c r="A664" s="27"/>
      <c r="B664" s="23"/>
      <c r="C664" s="26" t="str">
        <f aca="false">IF($B664="","",IFERROR(INDEX(Produits!$B$5:$B$204,MATCH($B664,Produits!$A$5:$A$204,0)),"Code inconnu"))</f>
        <v/>
      </c>
      <c r="D664" s="23"/>
      <c r="E664" s="24"/>
      <c r="F664" s="21" t="str">
        <f aca="false">IF(OR($B664="",$D664=""),"",IFERROR(IF($D664="Entrée",INDEX(Produits!$E$5:$E$204,MATCH($B664,Produits!$A$5:$A$204,0)),INDEX(Produits!$F$5:$F$204,MATCH($B664,Produits!$A$5:$A$204,0))),""))</f>
        <v/>
      </c>
      <c r="G664" s="21" t="str">
        <f aca="false">IF(OR($F664="",$E664=""),"",$E664*$F664)</f>
        <v/>
      </c>
      <c r="H664" s="21" t="str">
        <f aca="false">IF(AND($D664="Sortie",$B664&lt;&gt;"",$E664&lt;&gt;""),IFERROR($E664*INDEX(Produits!$E$5:$E$204,MATCH($B664,Produits!$A$5:$A$204,0)),""),"")</f>
        <v/>
      </c>
      <c r="I664" s="23"/>
    </row>
    <row r="665" customFormat="false" ht="15" hidden="false" customHeight="false" outlineLevel="0" collapsed="false">
      <c r="A665" s="27"/>
      <c r="B665" s="23"/>
      <c r="C665" s="26" t="str">
        <f aca="false">IF($B665="","",IFERROR(INDEX(Produits!$B$5:$B$204,MATCH($B665,Produits!$A$5:$A$204,0)),"Code inconnu"))</f>
        <v/>
      </c>
      <c r="D665" s="23"/>
      <c r="E665" s="24"/>
      <c r="F665" s="21" t="str">
        <f aca="false">IF(OR($B665="",$D665=""),"",IFERROR(IF($D665="Entrée",INDEX(Produits!$E$5:$E$204,MATCH($B665,Produits!$A$5:$A$204,0)),INDEX(Produits!$F$5:$F$204,MATCH($B665,Produits!$A$5:$A$204,0))),""))</f>
        <v/>
      </c>
      <c r="G665" s="21" t="str">
        <f aca="false">IF(OR($F665="",$E665=""),"",$E665*$F665)</f>
        <v/>
      </c>
      <c r="H665" s="21" t="str">
        <f aca="false">IF(AND($D665="Sortie",$B665&lt;&gt;"",$E665&lt;&gt;""),IFERROR($E665*INDEX(Produits!$E$5:$E$204,MATCH($B665,Produits!$A$5:$A$204,0)),""),"")</f>
        <v/>
      </c>
      <c r="I665" s="23"/>
    </row>
    <row r="666" customFormat="false" ht="15" hidden="false" customHeight="false" outlineLevel="0" collapsed="false">
      <c r="A666" s="27"/>
      <c r="B666" s="23"/>
      <c r="C666" s="26" t="str">
        <f aca="false">IF($B666="","",IFERROR(INDEX(Produits!$B$5:$B$204,MATCH($B666,Produits!$A$5:$A$204,0)),"Code inconnu"))</f>
        <v/>
      </c>
      <c r="D666" s="23"/>
      <c r="E666" s="24"/>
      <c r="F666" s="21" t="str">
        <f aca="false">IF(OR($B666="",$D666=""),"",IFERROR(IF($D666="Entrée",INDEX(Produits!$E$5:$E$204,MATCH($B666,Produits!$A$5:$A$204,0)),INDEX(Produits!$F$5:$F$204,MATCH($B666,Produits!$A$5:$A$204,0))),""))</f>
        <v/>
      </c>
      <c r="G666" s="21" t="str">
        <f aca="false">IF(OR($F666="",$E666=""),"",$E666*$F666)</f>
        <v/>
      </c>
      <c r="H666" s="21" t="str">
        <f aca="false">IF(AND($D666="Sortie",$B666&lt;&gt;"",$E666&lt;&gt;""),IFERROR($E666*INDEX(Produits!$E$5:$E$204,MATCH($B666,Produits!$A$5:$A$204,0)),""),"")</f>
        <v/>
      </c>
      <c r="I666" s="23"/>
    </row>
    <row r="667" customFormat="false" ht="15" hidden="false" customHeight="false" outlineLevel="0" collapsed="false">
      <c r="A667" s="27"/>
      <c r="B667" s="23"/>
      <c r="C667" s="26" t="str">
        <f aca="false">IF($B667="","",IFERROR(INDEX(Produits!$B$5:$B$204,MATCH($B667,Produits!$A$5:$A$204,0)),"Code inconnu"))</f>
        <v/>
      </c>
      <c r="D667" s="23"/>
      <c r="E667" s="24"/>
      <c r="F667" s="21" t="str">
        <f aca="false">IF(OR($B667="",$D667=""),"",IFERROR(IF($D667="Entrée",INDEX(Produits!$E$5:$E$204,MATCH($B667,Produits!$A$5:$A$204,0)),INDEX(Produits!$F$5:$F$204,MATCH($B667,Produits!$A$5:$A$204,0))),""))</f>
        <v/>
      </c>
      <c r="G667" s="21" t="str">
        <f aca="false">IF(OR($F667="",$E667=""),"",$E667*$F667)</f>
        <v/>
      </c>
      <c r="H667" s="21" t="str">
        <f aca="false">IF(AND($D667="Sortie",$B667&lt;&gt;"",$E667&lt;&gt;""),IFERROR($E667*INDEX(Produits!$E$5:$E$204,MATCH($B667,Produits!$A$5:$A$204,0)),""),"")</f>
        <v/>
      </c>
      <c r="I667" s="23"/>
    </row>
    <row r="668" customFormat="false" ht="15" hidden="false" customHeight="false" outlineLevel="0" collapsed="false">
      <c r="A668" s="27"/>
      <c r="B668" s="23"/>
      <c r="C668" s="26" t="str">
        <f aca="false">IF($B668="","",IFERROR(INDEX(Produits!$B$5:$B$204,MATCH($B668,Produits!$A$5:$A$204,0)),"Code inconnu"))</f>
        <v/>
      </c>
      <c r="D668" s="23"/>
      <c r="E668" s="24"/>
      <c r="F668" s="21" t="str">
        <f aca="false">IF(OR($B668="",$D668=""),"",IFERROR(IF($D668="Entrée",INDEX(Produits!$E$5:$E$204,MATCH($B668,Produits!$A$5:$A$204,0)),INDEX(Produits!$F$5:$F$204,MATCH($B668,Produits!$A$5:$A$204,0))),""))</f>
        <v/>
      </c>
      <c r="G668" s="21" t="str">
        <f aca="false">IF(OR($F668="",$E668=""),"",$E668*$F668)</f>
        <v/>
      </c>
      <c r="H668" s="21" t="str">
        <f aca="false">IF(AND($D668="Sortie",$B668&lt;&gt;"",$E668&lt;&gt;""),IFERROR($E668*INDEX(Produits!$E$5:$E$204,MATCH($B668,Produits!$A$5:$A$204,0)),""),"")</f>
        <v/>
      </c>
      <c r="I668" s="23"/>
    </row>
    <row r="669" customFormat="false" ht="15" hidden="false" customHeight="false" outlineLevel="0" collapsed="false">
      <c r="A669" s="27"/>
      <c r="B669" s="23"/>
      <c r="C669" s="26" t="str">
        <f aca="false">IF($B669="","",IFERROR(INDEX(Produits!$B$5:$B$204,MATCH($B669,Produits!$A$5:$A$204,0)),"Code inconnu"))</f>
        <v/>
      </c>
      <c r="D669" s="23"/>
      <c r="E669" s="24"/>
      <c r="F669" s="21" t="str">
        <f aca="false">IF(OR($B669="",$D669=""),"",IFERROR(IF($D669="Entrée",INDEX(Produits!$E$5:$E$204,MATCH($B669,Produits!$A$5:$A$204,0)),INDEX(Produits!$F$5:$F$204,MATCH($B669,Produits!$A$5:$A$204,0))),""))</f>
        <v/>
      </c>
      <c r="G669" s="21" t="str">
        <f aca="false">IF(OR($F669="",$E669=""),"",$E669*$F669)</f>
        <v/>
      </c>
      <c r="H669" s="21" t="str">
        <f aca="false">IF(AND($D669="Sortie",$B669&lt;&gt;"",$E669&lt;&gt;""),IFERROR($E669*INDEX(Produits!$E$5:$E$204,MATCH($B669,Produits!$A$5:$A$204,0)),""),"")</f>
        <v/>
      </c>
      <c r="I669" s="23"/>
    </row>
    <row r="670" customFormat="false" ht="15" hidden="false" customHeight="false" outlineLevel="0" collapsed="false">
      <c r="A670" s="27"/>
      <c r="B670" s="23"/>
      <c r="C670" s="26" t="str">
        <f aca="false">IF($B670="","",IFERROR(INDEX(Produits!$B$5:$B$204,MATCH($B670,Produits!$A$5:$A$204,0)),"Code inconnu"))</f>
        <v/>
      </c>
      <c r="D670" s="23"/>
      <c r="E670" s="24"/>
      <c r="F670" s="21" t="str">
        <f aca="false">IF(OR($B670="",$D670=""),"",IFERROR(IF($D670="Entrée",INDEX(Produits!$E$5:$E$204,MATCH($B670,Produits!$A$5:$A$204,0)),INDEX(Produits!$F$5:$F$204,MATCH($B670,Produits!$A$5:$A$204,0))),""))</f>
        <v/>
      </c>
      <c r="G670" s="21" t="str">
        <f aca="false">IF(OR($F670="",$E670=""),"",$E670*$F670)</f>
        <v/>
      </c>
      <c r="H670" s="21" t="str">
        <f aca="false">IF(AND($D670="Sortie",$B670&lt;&gt;"",$E670&lt;&gt;""),IFERROR($E670*INDEX(Produits!$E$5:$E$204,MATCH($B670,Produits!$A$5:$A$204,0)),""),"")</f>
        <v/>
      </c>
      <c r="I670" s="23"/>
    </row>
    <row r="671" customFormat="false" ht="15" hidden="false" customHeight="false" outlineLevel="0" collapsed="false">
      <c r="A671" s="27"/>
      <c r="B671" s="23"/>
      <c r="C671" s="26" t="str">
        <f aca="false">IF($B671="","",IFERROR(INDEX(Produits!$B$5:$B$204,MATCH($B671,Produits!$A$5:$A$204,0)),"Code inconnu"))</f>
        <v/>
      </c>
      <c r="D671" s="23"/>
      <c r="E671" s="24"/>
      <c r="F671" s="21" t="str">
        <f aca="false">IF(OR($B671="",$D671=""),"",IFERROR(IF($D671="Entrée",INDEX(Produits!$E$5:$E$204,MATCH($B671,Produits!$A$5:$A$204,0)),INDEX(Produits!$F$5:$F$204,MATCH($B671,Produits!$A$5:$A$204,0))),""))</f>
        <v/>
      </c>
      <c r="G671" s="21" t="str">
        <f aca="false">IF(OR($F671="",$E671=""),"",$E671*$F671)</f>
        <v/>
      </c>
      <c r="H671" s="21" t="str">
        <f aca="false">IF(AND($D671="Sortie",$B671&lt;&gt;"",$E671&lt;&gt;""),IFERROR($E671*INDEX(Produits!$E$5:$E$204,MATCH($B671,Produits!$A$5:$A$204,0)),""),"")</f>
        <v/>
      </c>
      <c r="I671" s="23"/>
    </row>
    <row r="672" customFormat="false" ht="15" hidden="false" customHeight="false" outlineLevel="0" collapsed="false">
      <c r="A672" s="27"/>
      <c r="B672" s="23"/>
      <c r="C672" s="26" t="str">
        <f aca="false">IF($B672="","",IFERROR(INDEX(Produits!$B$5:$B$204,MATCH($B672,Produits!$A$5:$A$204,0)),"Code inconnu"))</f>
        <v/>
      </c>
      <c r="D672" s="23"/>
      <c r="E672" s="24"/>
      <c r="F672" s="21" t="str">
        <f aca="false">IF(OR($B672="",$D672=""),"",IFERROR(IF($D672="Entrée",INDEX(Produits!$E$5:$E$204,MATCH($B672,Produits!$A$5:$A$204,0)),INDEX(Produits!$F$5:$F$204,MATCH($B672,Produits!$A$5:$A$204,0))),""))</f>
        <v/>
      </c>
      <c r="G672" s="21" t="str">
        <f aca="false">IF(OR($F672="",$E672=""),"",$E672*$F672)</f>
        <v/>
      </c>
      <c r="H672" s="21" t="str">
        <f aca="false">IF(AND($D672="Sortie",$B672&lt;&gt;"",$E672&lt;&gt;""),IFERROR($E672*INDEX(Produits!$E$5:$E$204,MATCH($B672,Produits!$A$5:$A$204,0)),""),"")</f>
        <v/>
      </c>
      <c r="I672" s="23"/>
    </row>
    <row r="673" customFormat="false" ht="15" hidden="false" customHeight="false" outlineLevel="0" collapsed="false">
      <c r="A673" s="27"/>
      <c r="B673" s="23"/>
      <c r="C673" s="26" t="str">
        <f aca="false">IF($B673="","",IFERROR(INDEX(Produits!$B$5:$B$204,MATCH($B673,Produits!$A$5:$A$204,0)),"Code inconnu"))</f>
        <v/>
      </c>
      <c r="D673" s="23"/>
      <c r="E673" s="24"/>
      <c r="F673" s="21" t="str">
        <f aca="false">IF(OR($B673="",$D673=""),"",IFERROR(IF($D673="Entrée",INDEX(Produits!$E$5:$E$204,MATCH($B673,Produits!$A$5:$A$204,0)),INDEX(Produits!$F$5:$F$204,MATCH($B673,Produits!$A$5:$A$204,0))),""))</f>
        <v/>
      </c>
      <c r="G673" s="21" t="str">
        <f aca="false">IF(OR($F673="",$E673=""),"",$E673*$F673)</f>
        <v/>
      </c>
      <c r="H673" s="21" t="str">
        <f aca="false">IF(AND($D673="Sortie",$B673&lt;&gt;"",$E673&lt;&gt;""),IFERROR($E673*INDEX(Produits!$E$5:$E$204,MATCH($B673,Produits!$A$5:$A$204,0)),""),"")</f>
        <v/>
      </c>
      <c r="I673" s="23"/>
    </row>
    <row r="674" customFormat="false" ht="15" hidden="false" customHeight="false" outlineLevel="0" collapsed="false">
      <c r="A674" s="27"/>
      <c r="B674" s="23"/>
      <c r="C674" s="26" t="str">
        <f aca="false">IF($B674="","",IFERROR(INDEX(Produits!$B$5:$B$204,MATCH($B674,Produits!$A$5:$A$204,0)),"Code inconnu"))</f>
        <v/>
      </c>
      <c r="D674" s="23"/>
      <c r="E674" s="24"/>
      <c r="F674" s="21" t="str">
        <f aca="false">IF(OR($B674="",$D674=""),"",IFERROR(IF($D674="Entrée",INDEX(Produits!$E$5:$E$204,MATCH($B674,Produits!$A$5:$A$204,0)),INDEX(Produits!$F$5:$F$204,MATCH($B674,Produits!$A$5:$A$204,0))),""))</f>
        <v/>
      </c>
      <c r="G674" s="21" t="str">
        <f aca="false">IF(OR($F674="",$E674=""),"",$E674*$F674)</f>
        <v/>
      </c>
      <c r="H674" s="21" t="str">
        <f aca="false">IF(AND($D674="Sortie",$B674&lt;&gt;"",$E674&lt;&gt;""),IFERROR($E674*INDEX(Produits!$E$5:$E$204,MATCH($B674,Produits!$A$5:$A$204,0)),""),"")</f>
        <v/>
      </c>
      <c r="I674" s="23"/>
    </row>
    <row r="675" customFormat="false" ht="15" hidden="false" customHeight="false" outlineLevel="0" collapsed="false">
      <c r="A675" s="27"/>
      <c r="B675" s="23"/>
      <c r="C675" s="26" t="str">
        <f aca="false">IF($B675="","",IFERROR(INDEX(Produits!$B$5:$B$204,MATCH($B675,Produits!$A$5:$A$204,0)),"Code inconnu"))</f>
        <v/>
      </c>
      <c r="D675" s="23"/>
      <c r="E675" s="24"/>
      <c r="F675" s="21" t="str">
        <f aca="false">IF(OR($B675="",$D675=""),"",IFERROR(IF($D675="Entrée",INDEX(Produits!$E$5:$E$204,MATCH($B675,Produits!$A$5:$A$204,0)),INDEX(Produits!$F$5:$F$204,MATCH($B675,Produits!$A$5:$A$204,0))),""))</f>
        <v/>
      </c>
      <c r="G675" s="21" t="str">
        <f aca="false">IF(OR($F675="",$E675=""),"",$E675*$F675)</f>
        <v/>
      </c>
      <c r="H675" s="21" t="str">
        <f aca="false">IF(AND($D675="Sortie",$B675&lt;&gt;"",$E675&lt;&gt;""),IFERROR($E675*INDEX(Produits!$E$5:$E$204,MATCH($B675,Produits!$A$5:$A$204,0)),""),"")</f>
        <v/>
      </c>
      <c r="I675" s="23"/>
    </row>
    <row r="676" customFormat="false" ht="15" hidden="false" customHeight="false" outlineLevel="0" collapsed="false">
      <c r="A676" s="27"/>
      <c r="B676" s="23"/>
      <c r="C676" s="26" t="str">
        <f aca="false">IF($B676="","",IFERROR(INDEX(Produits!$B$5:$B$204,MATCH($B676,Produits!$A$5:$A$204,0)),"Code inconnu"))</f>
        <v/>
      </c>
      <c r="D676" s="23"/>
      <c r="E676" s="24"/>
      <c r="F676" s="21" t="str">
        <f aca="false">IF(OR($B676="",$D676=""),"",IFERROR(IF($D676="Entrée",INDEX(Produits!$E$5:$E$204,MATCH($B676,Produits!$A$5:$A$204,0)),INDEX(Produits!$F$5:$F$204,MATCH($B676,Produits!$A$5:$A$204,0))),""))</f>
        <v/>
      </c>
      <c r="G676" s="21" t="str">
        <f aca="false">IF(OR($F676="",$E676=""),"",$E676*$F676)</f>
        <v/>
      </c>
      <c r="H676" s="21" t="str">
        <f aca="false">IF(AND($D676="Sortie",$B676&lt;&gt;"",$E676&lt;&gt;""),IFERROR($E676*INDEX(Produits!$E$5:$E$204,MATCH($B676,Produits!$A$5:$A$204,0)),""),"")</f>
        <v/>
      </c>
      <c r="I676" s="23"/>
    </row>
    <row r="677" customFormat="false" ht="15" hidden="false" customHeight="false" outlineLevel="0" collapsed="false">
      <c r="A677" s="27"/>
      <c r="B677" s="23"/>
      <c r="C677" s="26" t="str">
        <f aca="false">IF($B677="","",IFERROR(INDEX(Produits!$B$5:$B$204,MATCH($B677,Produits!$A$5:$A$204,0)),"Code inconnu"))</f>
        <v/>
      </c>
      <c r="D677" s="23"/>
      <c r="E677" s="24"/>
      <c r="F677" s="21" t="str">
        <f aca="false">IF(OR($B677="",$D677=""),"",IFERROR(IF($D677="Entrée",INDEX(Produits!$E$5:$E$204,MATCH($B677,Produits!$A$5:$A$204,0)),INDEX(Produits!$F$5:$F$204,MATCH($B677,Produits!$A$5:$A$204,0))),""))</f>
        <v/>
      </c>
      <c r="G677" s="21" t="str">
        <f aca="false">IF(OR($F677="",$E677=""),"",$E677*$F677)</f>
        <v/>
      </c>
      <c r="H677" s="21" t="str">
        <f aca="false">IF(AND($D677="Sortie",$B677&lt;&gt;"",$E677&lt;&gt;""),IFERROR($E677*INDEX(Produits!$E$5:$E$204,MATCH($B677,Produits!$A$5:$A$204,0)),""),"")</f>
        <v/>
      </c>
      <c r="I677" s="23"/>
    </row>
    <row r="678" customFormat="false" ht="15" hidden="false" customHeight="false" outlineLevel="0" collapsed="false">
      <c r="A678" s="27"/>
      <c r="B678" s="23"/>
      <c r="C678" s="26" t="str">
        <f aca="false">IF($B678="","",IFERROR(INDEX(Produits!$B$5:$B$204,MATCH($B678,Produits!$A$5:$A$204,0)),"Code inconnu"))</f>
        <v/>
      </c>
      <c r="D678" s="23"/>
      <c r="E678" s="24"/>
      <c r="F678" s="21" t="str">
        <f aca="false">IF(OR($B678="",$D678=""),"",IFERROR(IF($D678="Entrée",INDEX(Produits!$E$5:$E$204,MATCH($B678,Produits!$A$5:$A$204,0)),INDEX(Produits!$F$5:$F$204,MATCH($B678,Produits!$A$5:$A$204,0))),""))</f>
        <v/>
      </c>
      <c r="G678" s="21" t="str">
        <f aca="false">IF(OR($F678="",$E678=""),"",$E678*$F678)</f>
        <v/>
      </c>
      <c r="H678" s="21" t="str">
        <f aca="false">IF(AND($D678="Sortie",$B678&lt;&gt;"",$E678&lt;&gt;""),IFERROR($E678*INDEX(Produits!$E$5:$E$204,MATCH($B678,Produits!$A$5:$A$204,0)),""),"")</f>
        <v/>
      </c>
      <c r="I678" s="23"/>
    </row>
    <row r="679" customFormat="false" ht="15" hidden="false" customHeight="false" outlineLevel="0" collapsed="false">
      <c r="A679" s="27"/>
      <c r="B679" s="23"/>
      <c r="C679" s="26" t="str">
        <f aca="false">IF($B679="","",IFERROR(INDEX(Produits!$B$5:$B$204,MATCH($B679,Produits!$A$5:$A$204,0)),"Code inconnu"))</f>
        <v/>
      </c>
      <c r="D679" s="23"/>
      <c r="E679" s="24"/>
      <c r="F679" s="21" t="str">
        <f aca="false">IF(OR($B679="",$D679=""),"",IFERROR(IF($D679="Entrée",INDEX(Produits!$E$5:$E$204,MATCH($B679,Produits!$A$5:$A$204,0)),INDEX(Produits!$F$5:$F$204,MATCH($B679,Produits!$A$5:$A$204,0))),""))</f>
        <v/>
      </c>
      <c r="G679" s="21" t="str">
        <f aca="false">IF(OR($F679="",$E679=""),"",$E679*$F679)</f>
        <v/>
      </c>
      <c r="H679" s="21" t="str">
        <f aca="false">IF(AND($D679="Sortie",$B679&lt;&gt;"",$E679&lt;&gt;""),IFERROR($E679*INDEX(Produits!$E$5:$E$204,MATCH($B679,Produits!$A$5:$A$204,0)),""),"")</f>
        <v/>
      </c>
      <c r="I679" s="23"/>
    </row>
    <row r="680" customFormat="false" ht="15" hidden="false" customHeight="false" outlineLevel="0" collapsed="false">
      <c r="A680" s="27"/>
      <c r="B680" s="23"/>
      <c r="C680" s="26" t="str">
        <f aca="false">IF($B680="","",IFERROR(INDEX(Produits!$B$5:$B$204,MATCH($B680,Produits!$A$5:$A$204,0)),"Code inconnu"))</f>
        <v/>
      </c>
      <c r="D680" s="23"/>
      <c r="E680" s="24"/>
      <c r="F680" s="21" t="str">
        <f aca="false">IF(OR($B680="",$D680=""),"",IFERROR(IF($D680="Entrée",INDEX(Produits!$E$5:$E$204,MATCH($B680,Produits!$A$5:$A$204,0)),INDEX(Produits!$F$5:$F$204,MATCH($B680,Produits!$A$5:$A$204,0))),""))</f>
        <v/>
      </c>
      <c r="G680" s="21" t="str">
        <f aca="false">IF(OR($F680="",$E680=""),"",$E680*$F680)</f>
        <v/>
      </c>
      <c r="H680" s="21" t="str">
        <f aca="false">IF(AND($D680="Sortie",$B680&lt;&gt;"",$E680&lt;&gt;""),IFERROR($E680*INDEX(Produits!$E$5:$E$204,MATCH($B680,Produits!$A$5:$A$204,0)),""),"")</f>
        <v/>
      </c>
      <c r="I680" s="23"/>
    </row>
    <row r="681" customFormat="false" ht="15" hidden="false" customHeight="false" outlineLevel="0" collapsed="false">
      <c r="A681" s="27"/>
      <c r="B681" s="23"/>
      <c r="C681" s="26" t="str">
        <f aca="false">IF($B681="","",IFERROR(INDEX(Produits!$B$5:$B$204,MATCH($B681,Produits!$A$5:$A$204,0)),"Code inconnu"))</f>
        <v/>
      </c>
      <c r="D681" s="23"/>
      <c r="E681" s="24"/>
      <c r="F681" s="21" t="str">
        <f aca="false">IF(OR($B681="",$D681=""),"",IFERROR(IF($D681="Entrée",INDEX(Produits!$E$5:$E$204,MATCH($B681,Produits!$A$5:$A$204,0)),INDEX(Produits!$F$5:$F$204,MATCH($B681,Produits!$A$5:$A$204,0))),""))</f>
        <v/>
      </c>
      <c r="G681" s="21" t="str">
        <f aca="false">IF(OR($F681="",$E681=""),"",$E681*$F681)</f>
        <v/>
      </c>
      <c r="H681" s="21" t="str">
        <f aca="false">IF(AND($D681="Sortie",$B681&lt;&gt;"",$E681&lt;&gt;""),IFERROR($E681*INDEX(Produits!$E$5:$E$204,MATCH($B681,Produits!$A$5:$A$204,0)),""),"")</f>
        <v/>
      </c>
      <c r="I681" s="23"/>
    </row>
    <row r="682" customFormat="false" ht="15" hidden="false" customHeight="false" outlineLevel="0" collapsed="false">
      <c r="A682" s="27"/>
      <c r="B682" s="23"/>
      <c r="C682" s="26" t="str">
        <f aca="false">IF($B682="","",IFERROR(INDEX(Produits!$B$5:$B$204,MATCH($B682,Produits!$A$5:$A$204,0)),"Code inconnu"))</f>
        <v/>
      </c>
      <c r="D682" s="23"/>
      <c r="E682" s="24"/>
      <c r="F682" s="21" t="str">
        <f aca="false">IF(OR($B682="",$D682=""),"",IFERROR(IF($D682="Entrée",INDEX(Produits!$E$5:$E$204,MATCH($B682,Produits!$A$5:$A$204,0)),INDEX(Produits!$F$5:$F$204,MATCH($B682,Produits!$A$5:$A$204,0))),""))</f>
        <v/>
      </c>
      <c r="G682" s="21" t="str">
        <f aca="false">IF(OR($F682="",$E682=""),"",$E682*$F682)</f>
        <v/>
      </c>
      <c r="H682" s="21" t="str">
        <f aca="false">IF(AND($D682="Sortie",$B682&lt;&gt;"",$E682&lt;&gt;""),IFERROR($E682*INDEX(Produits!$E$5:$E$204,MATCH($B682,Produits!$A$5:$A$204,0)),""),"")</f>
        <v/>
      </c>
      <c r="I682" s="23"/>
    </row>
    <row r="683" customFormat="false" ht="15" hidden="false" customHeight="false" outlineLevel="0" collapsed="false">
      <c r="A683" s="27"/>
      <c r="B683" s="23"/>
      <c r="C683" s="26" t="str">
        <f aca="false">IF($B683="","",IFERROR(INDEX(Produits!$B$5:$B$204,MATCH($B683,Produits!$A$5:$A$204,0)),"Code inconnu"))</f>
        <v/>
      </c>
      <c r="D683" s="23"/>
      <c r="E683" s="24"/>
      <c r="F683" s="21" t="str">
        <f aca="false">IF(OR($B683="",$D683=""),"",IFERROR(IF($D683="Entrée",INDEX(Produits!$E$5:$E$204,MATCH($B683,Produits!$A$5:$A$204,0)),INDEX(Produits!$F$5:$F$204,MATCH($B683,Produits!$A$5:$A$204,0))),""))</f>
        <v/>
      </c>
      <c r="G683" s="21" t="str">
        <f aca="false">IF(OR($F683="",$E683=""),"",$E683*$F683)</f>
        <v/>
      </c>
      <c r="H683" s="21" t="str">
        <f aca="false">IF(AND($D683="Sortie",$B683&lt;&gt;"",$E683&lt;&gt;""),IFERROR($E683*INDEX(Produits!$E$5:$E$204,MATCH($B683,Produits!$A$5:$A$204,0)),""),"")</f>
        <v/>
      </c>
      <c r="I683" s="23"/>
    </row>
    <row r="684" customFormat="false" ht="15" hidden="false" customHeight="false" outlineLevel="0" collapsed="false">
      <c r="A684" s="27"/>
      <c r="B684" s="23"/>
      <c r="C684" s="26" t="str">
        <f aca="false">IF($B684="","",IFERROR(INDEX(Produits!$B$5:$B$204,MATCH($B684,Produits!$A$5:$A$204,0)),"Code inconnu"))</f>
        <v/>
      </c>
      <c r="D684" s="23"/>
      <c r="E684" s="24"/>
      <c r="F684" s="21" t="str">
        <f aca="false">IF(OR($B684="",$D684=""),"",IFERROR(IF($D684="Entrée",INDEX(Produits!$E$5:$E$204,MATCH($B684,Produits!$A$5:$A$204,0)),INDEX(Produits!$F$5:$F$204,MATCH($B684,Produits!$A$5:$A$204,0))),""))</f>
        <v/>
      </c>
      <c r="G684" s="21" t="str">
        <f aca="false">IF(OR($F684="",$E684=""),"",$E684*$F684)</f>
        <v/>
      </c>
      <c r="H684" s="21" t="str">
        <f aca="false">IF(AND($D684="Sortie",$B684&lt;&gt;"",$E684&lt;&gt;""),IFERROR($E684*INDEX(Produits!$E$5:$E$204,MATCH($B684,Produits!$A$5:$A$204,0)),""),"")</f>
        <v/>
      </c>
      <c r="I684" s="23"/>
    </row>
    <row r="685" customFormat="false" ht="15" hidden="false" customHeight="false" outlineLevel="0" collapsed="false">
      <c r="A685" s="27"/>
      <c r="B685" s="23"/>
      <c r="C685" s="26" t="str">
        <f aca="false">IF($B685="","",IFERROR(INDEX(Produits!$B$5:$B$204,MATCH($B685,Produits!$A$5:$A$204,0)),"Code inconnu"))</f>
        <v/>
      </c>
      <c r="D685" s="23"/>
      <c r="E685" s="24"/>
      <c r="F685" s="21" t="str">
        <f aca="false">IF(OR($B685="",$D685=""),"",IFERROR(IF($D685="Entrée",INDEX(Produits!$E$5:$E$204,MATCH($B685,Produits!$A$5:$A$204,0)),INDEX(Produits!$F$5:$F$204,MATCH($B685,Produits!$A$5:$A$204,0))),""))</f>
        <v/>
      </c>
      <c r="G685" s="21" t="str">
        <f aca="false">IF(OR($F685="",$E685=""),"",$E685*$F685)</f>
        <v/>
      </c>
      <c r="H685" s="21" t="str">
        <f aca="false">IF(AND($D685="Sortie",$B685&lt;&gt;"",$E685&lt;&gt;""),IFERROR($E685*INDEX(Produits!$E$5:$E$204,MATCH($B685,Produits!$A$5:$A$204,0)),""),"")</f>
        <v/>
      </c>
      <c r="I685" s="23"/>
    </row>
    <row r="686" customFormat="false" ht="15" hidden="false" customHeight="false" outlineLevel="0" collapsed="false">
      <c r="A686" s="27"/>
      <c r="B686" s="23"/>
      <c r="C686" s="26" t="str">
        <f aca="false">IF($B686="","",IFERROR(INDEX(Produits!$B$5:$B$204,MATCH($B686,Produits!$A$5:$A$204,0)),"Code inconnu"))</f>
        <v/>
      </c>
      <c r="D686" s="23"/>
      <c r="E686" s="24"/>
      <c r="F686" s="21" t="str">
        <f aca="false">IF(OR($B686="",$D686=""),"",IFERROR(IF($D686="Entrée",INDEX(Produits!$E$5:$E$204,MATCH($B686,Produits!$A$5:$A$204,0)),INDEX(Produits!$F$5:$F$204,MATCH($B686,Produits!$A$5:$A$204,0))),""))</f>
        <v/>
      </c>
      <c r="G686" s="21" t="str">
        <f aca="false">IF(OR($F686="",$E686=""),"",$E686*$F686)</f>
        <v/>
      </c>
      <c r="H686" s="21" t="str">
        <f aca="false">IF(AND($D686="Sortie",$B686&lt;&gt;"",$E686&lt;&gt;""),IFERROR($E686*INDEX(Produits!$E$5:$E$204,MATCH($B686,Produits!$A$5:$A$204,0)),""),"")</f>
        <v/>
      </c>
      <c r="I686" s="23"/>
    </row>
    <row r="687" customFormat="false" ht="15" hidden="false" customHeight="false" outlineLevel="0" collapsed="false">
      <c r="A687" s="27"/>
      <c r="B687" s="23"/>
      <c r="C687" s="26" t="str">
        <f aca="false">IF($B687="","",IFERROR(INDEX(Produits!$B$5:$B$204,MATCH($B687,Produits!$A$5:$A$204,0)),"Code inconnu"))</f>
        <v/>
      </c>
      <c r="D687" s="23"/>
      <c r="E687" s="24"/>
      <c r="F687" s="21" t="str">
        <f aca="false">IF(OR($B687="",$D687=""),"",IFERROR(IF($D687="Entrée",INDEX(Produits!$E$5:$E$204,MATCH($B687,Produits!$A$5:$A$204,0)),INDEX(Produits!$F$5:$F$204,MATCH($B687,Produits!$A$5:$A$204,0))),""))</f>
        <v/>
      </c>
      <c r="G687" s="21" t="str">
        <f aca="false">IF(OR($F687="",$E687=""),"",$E687*$F687)</f>
        <v/>
      </c>
      <c r="H687" s="21" t="str">
        <f aca="false">IF(AND($D687="Sortie",$B687&lt;&gt;"",$E687&lt;&gt;""),IFERROR($E687*INDEX(Produits!$E$5:$E$204,MATCH($B687,Produits!$A$5:$A$204,0)),""),"")</f>
        <v/>
      </c>
      <c r="I687" s="23"/>
    </row>
    <row r="688" customFormat="false" ht="15" hidden="false" customHeight="false" outlineLevel="0" collapsed="false">
      <c r="A688" s="27"/>
      <c r="B688" s="23"/>
      <c r="C688" s="26" t="str">
        <f aca="false">IF($B688="","",IFERROR(INDEX(Produits!$B$5:$B$204,MATCH($B688,Produits!$A$5:$A$204,0)),"Code inconnu"))</f>
        <v/>
      </c>
      <c r="D688" s="23"/>
      <c r="E688" s="24"/>
      <c r="F688" s="21" t="str">
        <f aca="false">IF(OR($B688="",$D688=""),"",IFERROR(IF($D688="Entrée",INDEX(Produits!$E$5:$E$204,MATCH($B688,Produits!$A$5:$A$204,0)),INDEX(Produits!$F$5:$F$204,MATCH($B688,Produits!$A$5:$A$204,0))),""))</f>
        <v/>
      </c>
      <c r="G688" s="21" t="str">
        <f aca="false">IF(OR($F688="",$E688=""),"",$E688*$F688)</f>
        <v/>
      </c>
      <c r="H688" s="21" t="str">
        <f aca="false">IF(AND($D688="Sortie",$B688&lt;&gt;"",$E688&lt;&gt;""),IFERROR($E688*INDEX(Produits!$E$5:$E$204,MATCH($B688,Produits!$A$5:$A$204,0)),""),"")</f>
        <v/>
      </c>
      <c r="I688" s="23"/>
    </row>
    <row r="689" customFormat="false" ht="15" hidden="false" customHeight="false" outlineLevel="0" collapsed="false">
      <c r="A689" s="27"/>
      <c r="B689" s="23"/>
      <c r="C689" s="26" t="str">
        <f aca="false">IF($B689="","",IFERROR(INDEX(Produits!$B$5:$B$204,MATCH($B689,Produits!$A$5:$A$204,0)),"Code inconnu"))</f>
        <v/>
      </c>
      <c r="D689" s="23"/>
      <c r="E689" s="24"/>
      <c r="F689" s="21" t="str">
        <f aca="false">IF(OR($B689="",$D689=""),"",IFERROR(IF($D689="Entrée",INDEX(Produits!$E$5:$E$204,MATCH($B689,Produits!$A$5:$A$204,0)),INDEX(Produits!$F$5:$F$204,MATCH($B689,Produits!$A$5:$A$204,0))),""))</f>
        <v/>
      </c>
      <c r="G689" s="21" t="str">
        <f aca="false">IF(OR($F689="",$E689=""),"",$E689*$F689)</f>
        <v/>
      </c>
      <c r="H689" s="21" t="str">
        <f aca="false">IF(AND($D689="Sortie",$B689&lt;&gt;"",$E689&lt;&gt;""),IFERROR($E689*INDEX(Produits!$E$5:$E$204,MATCH($B689,Produits!$A$5:$A$204,0)),""),"")</f>
        <v/>
      </c>
      <c r="I689" s="23"/>
    </row>
    <row r="690" customFormat="false" ht="15" hidden="false" customHeight="false" outlineLevel="0" collapsed="false">
      <c r="A690" s="27"/>
      <c r="B690" s="23"/>
      <c r="C690" s="26" t="str">
        <f aca="false">IF($B690="","",IFERROR(INDEX(Produits!$B$5:$B$204,MATCH($B690,Produits!$A$5:$A$204,0)),"Code inconnu"))</f>
        <v/>
      </c>
      <c r="D690" s="23"/>
      <c r="E690" s="24"/>
      <c r="F690" s="21" t="str">
        <f aca="false">IF(OR($B690="",$D690=""),"",IFERROR(IF($D690="Entrée",INDEX(Produits!$E$5:$E$204,MATCH($B690,Produits!$A$5:$A$204,0)),INDEX(Produits!$F$5:$F$204,MATCH($B690,Produits!$A$5:$A$204,0))),""))</f>
        <v/>
      </c>
      <c r="G690" s="21" t="str">
        <f aca="false">IF(OR($F690="",$E690=""),"",$E690*$F690)</f>
        <v/>
      </c>
      <c r="H690" s="21" t="str">
        <f aca="false">IF(AND($D690="Sortie",$B690&lt;&gt;"",$E690&lt;&gt;""),IFERROR($E690*INDEX(Produits!$E$5:$E$204,MATCH($B690,Produits!$A$5:$A$204,0)),""),"")</f>
        <v/>
      </c>
      <c r="I690" s="23"/>
    </row>
    <row r="691" customFormat="false" ht="15" hidden="false" customHeight="false" outlineLevel="0" collapsed="false">
      <c r="A691" s="27"/>
      <c r="B691" s="23"/>
      <c r="C691" s="26" t="str">
        <f aca="false">IF($B691="","",IFERROR(INDEX(Produits!$B$5:$B$204,MATCH($B691,Produits!$A$5:$A$204,0)),"Code inconnu"))</f>
        <v/>
      </c>
      <c r="D691" s="23"/>
      <c r="E691" s="24"/>
      <c r="F691" s="21" t="str">
        <f aca="false">IF(OR($B691="",$D691=""),"",IFERROR(IF($D691="Entrée",INDEX(Produits!$E$5:$E$204,MATCH($B691,Produits!$A$5:$A$204,0)),INDEX(Produits!$F$5:$F$204,MATCH($B691,Produits!$A$5:$A$204,0))),""))</f>
        <v/>
      </c>
      <c r="G691" s="21" t="str">
        <f aca="false">IF(OR($F691="",$E691=""),"",$E691*$F691)</f>
        <v/>
      </c>
      <c r="H691" s="21" t="str">
        <f aca="false">IF(AND($D691="Sortie",$B691&lt;&gt;"",$E691&lt;&gt;""),IFERROR($E691*INDEX(Produits!$E$5:$E$204,MATCH($B691,Produits!$A$5:$A$204,0)),""),"")</f>
        <v/>
      </c>
      <c r="I691" s="23"/>
    </row>
    <row r="692" customFormat="false" ht="15" hidden="false" customHeight="false" outlineLevel="0" collapsed="false">
      <c r="A692" s="27"/>
      <c r="B692" s="23"/>
      <c r="C692" s="26" t="str">
        <f aca="false">IF($B692="","",IFERROR(INDEX(Produits!$B$5:$B$204,MATCH($B692,Produits!$A$5:$A$204,0)),"Code inconnu"))</f>
        <v/>
      </c>
      <c r="D692" s="23"/>
      <c r="E692" s="24"/>
      <c r="F692" s="21" t="str">
        <f aca="false">IF(OR($B692="",$D692=""),"",IFERROR(IF($D692="Entrée",INDEX(Produits!$E$5:$E$204,MATCH($B692,Produits!$A$5:$A$204,0)),INDEX(Produits!$F$5:$F$204,MATCH($B692,Produits!$A$5:$A$204,0))),""))</f>
        <v/>
      </c>
      <c r="G692" s="21" t="str">
        <f aca="false">IF(OR($F692="",$E692=""),"",$E692*$F692)</f>
        <v/>
      </c>
      <c r="H692" s="21" t="str">
        <f aca="false">IF(AND($D692="Sortie",$B692&lt;&gt;"",$E692&lt;&gt;""),IFERROR($E692*INDEX(Produits!$E$5:$E$204,MATCH($B692,Produits!$A$5:$A$204,0)),""),"")</f>
        <v/>
      </c>
      <c r="I692" s="23"/>
    </row>
    <row r="693" customFormat="false" ht="15" hidden="false" customHeight="false" outlineLevel="0" collapsed="false">
      <c r="A693" s="27"/>
      <c r="B693" s="23"/>
      <c r="C693" s="26" t="str">
        <f aca="false">IF($B693="","",IFERROR(INDEX(Produits!$B$5:$B$204,MATCH($B693,Produits!$A$5:$A$204,0)),"Code inconnu"))</f>
        <v/>
      </c>
      <c r="D693" s="23"/>
      <c r="E693" s="24"/>
      <c r="F693" s="21" t="str">
        <f aca="false">IF(OR($B693="",$D693=""),"",IFERROR(IF($D693="Entrée",INDEX(Produits!$E$5:$E$204,MATCH($B693,Produits!$A$5:$A$204,0)),INDEX(Produits!$F$5:$F$204,MATCH($B693,Produits!$A$5:$A$204,0))),""))</f>
        <v/>
      </c>
      <c r="G693" s="21" t="str">
        <f aca="false">IF(OR($F693="",$E693=""),"",$E693*$F693)</f>
        <v/>
      </c>
      <c r="H693" s="21" t="str">
        <f aca="false">IF(AND($D693="Sortie",$B693&lt;&gt;"",$E693&lt;&gt;""),IFERROR($E693*INDEX(Produits!$E$5:$E$204,MATCH($B693,Produits!$A$5:$A$204,0)),""),"")</f>
        <v/>
      </c>
      <c r="I693" s="23"/>
    </row>
    <row r="694" customFormat="false" ht="15" hidden="false" customHeight="false" outlineLevel="0" collapsed="false">
      <c r="A694" s="27"/>
      <c r="B694" s="23"/>
      <c r="C694" s="26" t="str">
        <f aca="false">IF($B694="","",IFERROR(INDEX(Produits!$B$5:$B$204,MATCH($B694,Produits!$A$5:$A$204,0)),"Code inconnu"))</f>
        <v/>
      </c>
      <c r="D694" s="23"/>
      <c r="E694" s="24"/>
      <c r="F694" s="21" t="str">
        <f aca="false">IF(OR($B694="",$D694=""),"",IFERROR(IF($D694="Entrée",INDEX(Produits!$E$5:$E$204,MATCH($B694,Produits!$A$5:$A$204,0)),INDEX(Produits!$F$5:$F$204,MATCH($B694,Produits!$A$5:$A$204,0))),""))</f>
        <v/>
      </c>
      <c r="G694" s="21" t="str">
        <f aca="false">IF(OR($F694="",$E694=""),"",$E694*$F694)</f>
        <v/>
      </c>
      <c r="H694" s="21" t="str">
        <f aca="false">IF(AND($D694="Sortie",$B694&lt;&gt;"",$E694&lt;&gt;""),IFERROR($E694*INDEX(Produits!$E$5:$E$204,MATCH($B694,Produits!$A$5:$A$204,0)),""),"")</f>
        <v/>
      </c>
      <c r="I694" s="23"/>
    </row>
    <row r="695" customFormat="false" ht="15" hidden="false" customHeight="false" outlineLevel="0" collapsed="false">
      <c r="A695" s="27"/>
      <c r="B695" s="23"/>
      <c r="C695" s="26" t="str">
        <f aca="false">IF($B695="","",IFERROR(INDEX(Produits!$B$5:$B$204,MATCH($B695,Produits!$A$5:$A$204,0)),"Code inconnu"))</f>
        <v/>
      </c>
      <c r="D695" s="23"/>
      <c r="E695" s="24"/>
      <c r="F695" s="21" t="str">
        <f aca="false">IF(OR($B695="",$D695=""),"",IFERROR(IF($D695="Entrée",INDEX(Produits!$E$5:$E$204,MATCH($B695,Produits!$A$5:$A$204,0)),INDEX(Produits!$F$5:$F$204,MATCH($B695,Produits!$A$5:$A$204,0))),""))</f>
        <v/>
      </c>
      <c r="G695" s="21" t="str">
        <f aca="false">IF(OR($F695="",$E695=""),"",$E695*$F695)</f>
        <v/>
      </c>
      <c r="H695" s="21" t="str">
        <f aca="false">IF(AND($D695="Sortie",$B695&lt;&gt;"",$E695&lt;&gt;""),IFERROR($E695*INDEX(Produits!$E$5:$E$204,MATCH($B695,Produits!$A$5:$A$204,0)),""),"")</f>
        <v/>
      </c>
      <c r="I695" s="23"/>
    </row>
    <row r="696" customFormat="false" ht="15" hidden="false" customHeight="false" outlineLevel="0" collapsed="false">
      <c r="A696" s="27"/>
      <c r="B696" s="23"/>
      <c r="C696" s="26" t="str">
        <f aca="false">IF($B696="","",IFERROR(INDEX(Produits!$B$5:$B$204,MATCH($B696,Produits!$A$5:$A$204,0)),"Code inconnu"))</f>
        <v/>
      </c>
      <c r="D696" s="23"/>
      <c r="E696" s="24"/>
      <c r="F696" s="21" t="str">
        <f aca="false">IF(OR($B696="",$D696=""),"",IFERROR(IF($D696="Entrée",INDEX(Produits!$E$5:$E$204,MATCH($B696,Produits!$A$5:$A$204,0)),INDEX(Produits!$F$5:$F$204,MATCH($B696,Produits!$A$5:$A$204,0))),""))</f>
        <v/>
      </c>
      <c r="G696" s="21" t="str">
        <f aca="false">IF(OR($F696="",$E696=""),"",$E696*$F696)</f>
        <v/>
      </c>
      <c r="H696" s="21" t="str">
        <f aca="false">IF(AND($D696="Sortie",$B696&lt;&gt;"",$E696&lt;&gt;""),IFERROR($E696*INDEX(Produits!$E$5:$E$204,MATCH($B696,Produits!$A$5:$A$204,0)),""),"")</f>
        <v/>
      </c>
      <c r="I696" s="23"/>
    </row>
    <row r="697" customFormat="false" ht="15" hidden="false" customHeight="false" outlineLevel="0" collapsed="false">
      <c r="A697" s="27"/>
      <c r="B697" s="23"/>
      <c r="C697" s="26" t="str">
        <f aca="false">IF($B697="","",IFERROR(INDEX(Produits!$B$5:$B$204,MATCH($B697,Produits!$A$5:$A$204,0)),"Code inconnu"))</f>
        <v/>
      </c>
      <c r="D697" s="23"/>
      <c r="E697" s="24"/>
      <c r="F697" s="21" t="str">
        <f aca="false">IF(OR($B697="",$D697=""),"",IFERROR(IF($D697="Entrée",INDEX(Produits!$E$5:$E$204,MATCH($B697,Produits!$A$5:$A$204,0)),INDEX(Produits!$F$5:$F$204,MATCH($B697,Produits!$A$5:$A$204,0))),""))</f>
        <v/>
      </c>
      <c r="G697" s="21" t="str">
        <f aca="false">IF(OR($F697="",$E697=""),"",$E697*$F697)</f>
        <v/>
      </c>
      <c r="H697" s="21" t="str">
        <f aca="false">IF(AND($D697="Sortie",$B697&lt;&gt;"",$E697&lt;&gt;""),IFERROR($E697*INDEX(Produits!$E$5:$E$204,MATCH($B697,Produits!$A$5:$A$204,0)),""),"")</f>
        <v/>
      </c>
      <c r="I697" s="23"/>
    </row>
    <row r="698" customFormat="false" ht="15" hidden="false" customHeight="false" outlineLevel="0" collapsed="false">
      <c r="A698" s="27"/>
      <c r="B698" s="23"/>
      <c r="C698" s="26" t="str">
        <f aca="false">IF($B698="","",IFERROR(INDEX(Produits!$B$5:$B$204,MATCH($B698,Produits!$A$5:$A$204,0)),"Code inconnu"))</f>
        <v/>
      </c>
      <c r="D698" s="23"/>
      <c r="E698" s="24"/>
      <c r="F698" s="21" t="str">
        <f aca="false">IF(OR($B698="",$D698=""),"",IFERROR(IF($D698="Entrée",INDEX(Produits!$E$5:$E$204,MATCH($B698,Produits!$A$5:$A$204,0)),INDEX(Produits!$F$5:$F$204,MATCH($B698,Produits!$A$5:$A$204,0))),""))</f>
        <v/>
      </c>
      <c r="G698" s="21" t="str">
        <f aca="false">IF(OR($F698="",$E698=""),"",$E698*$F698)</f>
        <v/>
      </c>
      <c r="H698" s="21" t="str">
        <f aca="false">IF(AND($D698="Sortie",$B698&lt;&gt;"",$E698&lt;&gt;""),IFERROR($E698*INDEX(Produits!$E$5:$E$204,MATCH($B698,Produits!$A$5:$A$204,0)),""),"")</f>
        <v/>
      </c>
      <c r="I698" s="23"/>
    </row>
    <row r="699" customFormat="false" ht="15" hidden="false" customHeight="false" outlineLevel="0" collapsed="false">
      <c r="A699" s="27"/>
      <c r="B699" s="23"/>
      <c r="C699" s="26" t="str">
        <f aca="false">IF($B699="","",IFERROR(INDEX(Produits!$B$5:$B$204,MATCH($B699,Produits!$A$5:$A$204,0)),"Code inconnu"))</f>
        <v/>
      </c>
      <c r="D699" s="23"/>
      <c r="E699" s="24"/>
      <c r="F699" s="21" t="str">
        <f aca="false">IF(OR($B699="",$D699=""),"",IFERROR(IF($D699="Entrée",INDEX(Produits!$E$5:$E$204,MATCH($B699,Produits!$A$5:$A$204,0)),INDEX(Produits!$F$5:$F$204,MATCH($B699,Produits!$A$5:$A$204,0))),""))</f>
        <v/>
      </c>
      <c r="G699" s="21" t="str">
        <f aca="false">IF(OR($F699="",$E699=""),"",$E699*$F699)</f>
        <v/>
      </c>
      <c r="H699" s="21" t="str">
        <f aca="false">IF(AND($D699="Sortie",$B699&lt;&gt;"",$E699&lt;&gt;""),IFERROR($E699*INDEX(Produits!$E$5:$E$204,MATCH($B699,Produits!$A$5:$A$204,0)),""),"")</f>
        <v/>
      </c>
      <c r="I699" s="23"/>
    </row>
    <row r="700" customFormat="false" ht="15" hidden="false" customHeight="false" outlineLevel="0" collapsed="false">
      <c r="A700" s="27"/>
      <c r="B700" s="23"/>
      <c r="C700" s="26" t="str">
        <f aca="false">IF($B700="","",IFERROR(INDEX(Produits!$B$5:$B$204,MATCH($B700,Produits!$A$5:$A$204,0)),"Code inconnu"))</f>
        <v/>
      </c>
      <c r="D700" s="23"/>
      <c r="E700" s="24"/>
      <c r="F700" s="21" t="str">
        <f aca="false">IF(OR($B700="",$D700=""),"",IFERROR(IF($D700="Entrée",INDEX(Produits!$E$5:$E$204,MATCH($B700,Produits!$A$5:$A$204,0)),INDEX(Produits!$F$5:$F$204,MATCH($B700,Produits!$A$5:$A$204,0))),""))</f>
        <v/>
      </c>
      <c r="G700" s="21" t="str">
        <f aca="false">IF(OR($F700="",$E700=""),"",$E700*$F700)</f>
        <v/>
      </c>
      <c r="H700" s="21" t="str">
        <f aca="false">IF(AND($D700="Sortie",$B700&lt;&gt;"",$E700&lt;&gt;""),IFERROR($E700*INDEX(Produits!$E$5:$E$204,MATCH($B700,Produits!$A$5:$A$204,0)),""),"")</f>
        <v/>
      </c>
      <c r="I700" s="23"/>
    </row>
    <row r="701" customFormat="false" ht="15" hidden="false" customHeight="false" outlineLevel="0" collapsed="false">
      <c r="A701" s="27"/>
      <c r="B701" s="23"/>
      <c r="C701" s="26" t="str">
        <f aca="false">IF($B701="","",IFERROR(INDEX(Produits!$B$5:$B$204,MATCH($B701,Produits!$A$5:$A$204,0)),"Code inconnu"))</f>
        <v/>
      </c>
      <c r="D701" s="23"/>
      <c r="E701" s="24"/>
      <c r="F701" s="21" t="str">
        <f aca="false">IF(OR($B701="",$D701=""),"",IFERROR(IF($D701="Entrée",INDEX(Produits!$E$5:$E$204,MATCH($B701,Produits!$A$5:$A$204,0)),INDEX(Produits!$F$5:$F$204,MATCH($B701,Produits!$A$5:$A$204,0))),""))</f>
        <v/>
      </c>
      <c r="G701" s="21" t="str">
        <f aca="false">IF(OR($F701="",$E701=""),"",$E701*$F701)</f>
        <v/>
      </c>
      <c r="H701" s="21" t="str">
        <f aca="false">IF(AND($D701="Sortie",$B701&lt;&gt;"",$E701&lt;&gt;""),IFERROR($E701*INDEX(Produits!$E$5:$E$204,MATCH($B701,Produits!$A$5:$A$204,0)),""),"")</f>
        <v/>
      </c>
      <c r="I701" s="23"/>
    </row>
    <row r="702" customFormat="false" ht="15" hidden="false" customHeight="false" outlineLevel="0" collapsed="false">
      <c r="A702" s="27"/>
      <c r="B702" s="23"/>
      <c r="C702" s="26" t="str">
        <f aca="false">IF($B702="","",IFERROR(INDEX(Produits!$B$5:$B$204,MATCH($B702,Produits!$A$5:$A$204,0)),"Code inconnu"))</f>
        <v/>
      </c>
      <c r="D702" s="23"/>
      <c r="E702" s="24"/>
      <c r="F702" s="21" t="str">
        <f aca="false">IF(OR($B702="",$D702=""),"",IFERROR(IF($D702="Entrée",INDEX(Produits!$E$5:$E$204,MATCH($B702,Produits!$A$5:$A$204,0)),INDEX(Produits!$F$5:$F$204,MATCH($B702,Produits!$A$5:$A$204,0))),""))</f>
        <v/>
      </c>
      <c r="G702" s="21" t="str">
        <f aca="false">IF(OR($F702="",$E702=""),"",$E702*$F702)</f>
        <v/>
      </c>
      <c r="H702" s="21" t="str">
        <f aca="false">IF(AND($D702="Sortie",$B702&lt;&gt;"",$E702&lt;&gt;""),IFERROR($E702*INDEX(Produits!$E$5:$E$204,MATCH($B702,Produits!$A$5:$A$204,0)),""),"")</f>
        <v/>
      </c>
      <c r="I702" s="23"/>
    </row>
    <row r="703" customFormat="false" ht="15" hidden="false" customHeight="false" outlineLevel="0" collapsed="false">
      <c r="A703" s="27"/>
      <c r="B703" s="23"/>
      <c r="C703" s="26" t="str">
        <f aca="false">IF($B703="","",IFERROR(INDEX(Produits!$B$5:$B$204,MATCH($B703,Produits!$A$5:$A$204,0)),"Code inconnu"))</f>
        <v/>
      </c>
      <c r="D703" s="23"/>
      <c r="E703" s="24"/>
      <c r="F703" s="21" t="str">
        <f aca="false">IF(OR($B703="",$D703=""),"",IFERROR(IF($D703="Entrée",INDEX(Produits!$E$5:$E$204,MATCH($B703,Produits!$A$5:$A$204,0)),INDEX(Produits!$F$5:$F$204,MATCH($B703,Produits!$A$5:$A$204,0))),""))</f>
        <v/>
      </c>
      <c r="G703" s="21" t="str">
        <f aca="false">IF(OR($F703="",$E703=""),"",$E703*$F703)</f>
        <v/>
      </c>
      <c r="H703" s="21" t="str">
        <f aca="false">IF(AND($D703="Sortie",$B703&lt;&gt;"",$E703&lt;&gt;""),IFERROR($E703*INDEX(Produits!$E$5:$E$204,MATCH($B703,Produits!$A$5:$A$204,0)),""),"")</f>
        <v/>
      </c>
      <c r="I703" s="23"/>
    </row>
    <row r="704" customFormat="false" ht="15" hidden="false" customHeight="false" outlineLevel="0" collapsed="false">
      <c r="A704" s="27"/>
      <c r="B704" s="23"/>
      <c r="C704" s="26" t="str">
        <f aca="false">IF($B704="","",IFERROR(INDEX(Produits!$B$5:$B$204,MATCH($B704,Produits!$A$5:$A$204,0)),"Code inconnu"))</f>
        <v/>
      </c>
      <c r="D704" s="23"/>
      <c r="E704" s="24"/>
      <c r="F704" s="21" t="str">
        <f aca="false">IF(OR($B704="",$D704=""),"",IFERROR(IF($D704="Entrée",INDEX(Produits!$E$5:$E$204,MATCH($B704,Produits!$A$5:$A$204,0)),INDEX(Produits!$F$5:$F$204,MATCH($B704,Produits!$A$5:$A$204,0))),""))</f>
        <v/>
      </c>
      <c r="G704" s="21" t="str">
        <f aca="false">IF(OR($F704="",$E704=""),"",$E704*$F704)</f>
        <v/>
      </c>
      <c r="H704" s="21" t="str">
        <f aca="false">IF(AND($D704="Sortie",$B704&lt;&gt;"",$E704&lt;&gt;""),IFERROR($E704*INDEX(Produits!$E$5:$E$204,MATCH($B704,Produits!$A$5:$A$204,0)),""),"")</f>
        <v/>
      </c>
      <c r="I704" s="23"/>
    </row>
    <row r="705" customFormat="false" ht="15" hidden="false" customHeight="false" outlineLevel="0" collapsed="false">
      <c r="A705" s="27"/>
      <c r="B705" s="23"/>
      <c r="C705" s="26" t="str">
        <f aca="false">IF($B705="","",IFERROR(INDEX(Produits!$B$5:$B$204,MATCH($B705,Produits!$A$5:$A$204,0)),"Code inconnu"))</f>
        <v/>
      </c>
      <c r="D705" s="23"/>
      <c r="E705" s="24"/>
      <c r="F705" s="21" t="str">
        <f aca="false">IF(OR($B705="",$D705=""),"",IFERROR(IF($D705="Entrée",INDEX(Produits!$E$5:$E$204,MATCH($B705,Produits!$A$5:$A$204,0)),INDEX(Produits!$F$5:$F$204,MATCH($B705,Produits!$A$5:$A$204,0))),""))</f>
        <v/>
      </c>
      <c r="G705" s="21" t="str">
        <f aca="false">IF(OR($F705="",$E705=""),"",$E705*$F705)</f>
        <v/>
      </c>
      <c r="H705" s="21" t="str">
        <f aca="false">IF(AND($D705="Sortie",$B705&lt;&gt;"",$E705&lt;&gt;""),IFERROR($E705*INDEX(Produits!$E$5:$E$204,MATCH($B705,Produits!$A$5:$A$204,0)),""),"")</f>
        <v/>
      </c>
      <c r="I705" s="23"/>
    </row>
    <row r="706" customFormat="false" ht="15" hidden="false" customHeight="false" outlineLevel="0" collapsed="false">
      <c r="A706" s="27"/>
      <c r="B706" s="23"/>
      <c r="C706" s="26" t="str">
        <f aca="false">IF($B706="","",IFERROR(INDEX(Produits!$B$5:$B$204,MATCH($B706,Produits!$A$5:$A$204,0)),"Code inconnu"))</f>
        <v/>
      </c>
      <c r="D706" s="23"/>
      <c r="E706" s="24"/>
      <c r="F706" s="21" t="str">
        <f aca="false">IF(OR($B706="",$D706=""),"",IFERROR(IF($D706="Entrée",INDEX(Produits!$E$5:$E$204,MATCH($B706,Produits!$A$5:$A$204,0)),INDEX(Produits!$F$5:$F$204,MATCH($B706,Produits!$A$5:$A$204,0))),""))</f>
        <v/>
      </c>
      <c r="G706" s="21" t="str">
        <f aca="false">IF(OR($F706="",$E706=""),"",$E706*$F706)</f>
        <v/>
      </c>
      <c r="H706" s="21" t="str">
        <f aca="false">IF(AND($D706="Sortie",$B706&lt;&gt;"",$E706&lt;&gt;""),IFERROR($E706*INDEX(Produits!$E$5:$E$204,MATCH($B706,Produits!$A$5:$A$204,0)),""),"")</f>
        <v/>
      </c>
      <c r="I706" s="23"/>
    </row>
    <row r="707" customFormat="false" ht="15" hidden="false" customHeight="false" outlineLevel="0" collapsed="false">
      <c r="A707" s="27"/>
      <c r="B707" s="23"/>
      <c r="C707" s="26" t="str">
        <f aca="false">IF($B707="","",IFERROR(INDEX(Produits!$B$5:$B$204,MATCH($B707,Produits!$A$5:$A$204,0)),"Code inconnu"))</f>
        <v/>
      </c>
      <c r="D707" s="23"/>
      <c r="E707" s="24"/>
      <c r="F707" s="21" t="str">
        <f aca="false">IF(OR($B707="",$D707=""),"",IFERROR(IF($D707="Entrée",INDEX(Produits!$E$5:$E$204,MATCH($B707,Produits!$A$5:$A$204,0)),INDEX(Produits!$F$5:$F$204,MATCH($B707,Produits!$A$5:$A$204,0))),""))</f>
        <v/>
      </c>
      <c r="G707" s="21" t="str">
        <f aca="false">IF(OR($F707="",$E707=""),"",$E707*$F707)</f>
        <v/>
      </c>
      <c r="H707" s="21" t="str">
        <f aca="false">IF(AND($D707="Sortie",$B707&lt;&gt;"",$E707&lt;&gt;""),IFERROR($E707*INDEX(Produits!$E$5:$E$204,MATCH($B707,Produits!$A$5:$A$204,0)),""),"")</f>
        <v/>
      </c>
      <c r="I707" s="23"/>
    </row>
    <row r="708" customFormat="false" ht="15" hidden="false" customHeight="false" outlineLevel="0" collapsed="false">
      <c r="A708" s="27"/>
      <c r="B708" s="23"/>
      <c r="C708" s="26" t="str">
        <f aca="false">IF($B708="","",IFERROR(INDEX(Produits!$B$5:$B$204,MATCH($B708,Produits!$A$5:$A$204,0)),"Code inconnu"))</f>
        <v/>
      </c>
      <c r="D708" s="23"/>
      <c r="E708" s="24"/>
      <c r="F708" s="21" t="str">
        <f aca="false">IF(OR($B708="",$D708=""),"",IFERROR(IF($D708="Entrée",INDEX(Produits!$E$5:$E$204,MATCH($B708,Produits!$A$5:$A$204,0)),INDEX(Produits!$F$5:$F$204,MATCH($B708,Produits!$A$5:$A$204,0))),""))</f>
        <v/>
      </c>
      <c r="G708" s="21" t="str">
        <f aca="false">IF(OR($F708="",$E708=""),"",$E708*$F708)</f>
        <v/>
      </c>
      <c r="H708" s="21" t="str">
        <f aca="false">IF(AND($D708="Sortie",$B708&lt;&gt;"",$E708&lt;&gt;""),IFERROR($E708*INDEX(Produits!$E$5:$E$204,MATCH($B708,Produits!$A$5:$A$204,0)),""),"")</f>
        <v/>
      </c>
      <c r="I708" s="23"/>
    </row>
    <row r="709" customFormat="false" ht="15" hidden="false" customHeight="false" outlineLevel="0" collapsed="false">
      <c r="A709" s="27"/>
      <c r="B709" s="23"/>
      <c r="C709" s="26" t="str">
        <f aca="false">IF($B709="","",IFERROR(INDEX(Produits!$B$5:$B$204,MATCH($B709,Produits!$A$5:$A$204,0)),"Code inconnu"))</f>
        <v/>
      </c>
      <c r="D709" s="23"/>
      <c r="E709" s="24"/>
      <c r="F709" s="21" t="str">
        <f aca="false">IF(OR($B709="",$D709=""),"",IFERROR(IF($D709="Entrée",INDEX(Produits!$E$5:$E$204,MATCH($B709,Produits!$A$5:$A$204,0)),INDEX(Produits!$F$5:$F$204,MATCH($B709,Produits!$A$5:$A$204,0))),""))</f>
        <v/>
      </c>
      <c r="G709" s="21" t="str">
        <f aca="false">IF(OR($F709="",$E709=""),"",$E709*$F709)</f>
        <v/>
      </c>
      <c r="H709" s="21" t="str">
        <f aca="false">IF(AND($D709="Sortie",$B709&lt;&gt;"",$E709&lt;&gt;""),IFERROR($E709*INDEX(Produits!$E$5:$E$204,MATCH($B709,Produits!$A$5:$A$204,0)),""),"")</f>
        <v/>
      </c>
      <c r="I709" s="23"/>
    </row>
    <row r="710" customFormat="false" ht="15" hidden="false" customHeight="false" outlineLevel="0" collapsed="false">
      <c r="A710" s="27"/>
      <c r="B710" s="23"/>
      <c r="C710" s="26" t="str">
        <f aca="false">IF($B710="","",IFERROR(INDEX(Produits!$B$5:$B$204,MATCH($B710,Produits!$A$5:$A$204,0)),"Code inconnu"))</f>
        <v/>
      </c>
      <c r="D710" s="23"/>
      <c r="E710" s="24"/>
      <c r="F710" s="21" t="str">
        <f aca="false">IF(OR($B710="",$D710=""),"",IFERROR(IF($D710="Entrée",INDEX(Produits!$E$5:$E$204,MATCH($B710,Produits!$A$5:$A$204,0)),INDEX(Produits!$F$5:$F$204,MATCH($B710,Produits!$A$5:$A$204,0))),""))</f>
        <v/>
      </c>
      <c r="G710" s="21" t="str">
        <f aca="false">IF(OR($F710="",$E710=""),"",$E710*$F710)</f>
        <v/>
      </c>
      <c r="H710" s="21" t="str">
        <f aca="false">IF(AND($D710="Sortie",$B710&lt;&gt;"",$E710&lt;&gt;""),IFERROR($E710*INDEX(Produits!$E$5:$E$204,MATCH($B710,Produits!$A$5:$A$204,0)),""),"")</f>
        <v/>
      </c>
      <c r="I710" s="23"/>
    </row>
    <row r="711" customFormat="false" ht="15" hidden="false" customHeight="false" outlineLevel="0" collapsed="false">
      <c r="A711" s="27"/>
      <c r="B711" s="23"/>
      <c r="C711" s="26" t="str">
        <f aca="false">IF($B711="","",IFERROR(INDEX(Produits!$B$5:$B$204,MATCH($B711,Produits!$A$5:$A$204,0)),"Code inconnu"))</f>
        <v/>
      </c>
      <c r="D711" s="23"/>
      <c r="E711" s="24"/>
      <c r="F711" s="21" t="str">
        <f aca="false">IF(OR($B711="",$D711=""),"",IFERROR(IF($D711="Entrée",INDEX(Produits!$E$5:$E$204,MATCH($B711,Produits!$A$5:$A$204,0)),INDEX(Produits!$F$5:$F$204,MATCH($B711,Produits!$A$5:$A$204,0))),""))</f>
        <v/>
      </c>
      <c r="G711" s="21" t="str">
        <f aca="false">IF(OR($F711="",$E711=""),"",$E711*$F711)</f>
        <v/>
      </c>
      <c r="H711" s="21" t="str">
        <f aca="false">IF(AND($D711="Sortie",$B711&lt;&gt;"",$E711&lt;&gt;""),IFERROR($E711*INDEX(Produits!$E$5:$E$204,MATCH($B711,Produits!$A$5:$A$204,0)),""),"")</f>
        <v/>
      </c>
      <c r="I711" s="23"/>
    </row>
    <row r="712" customFormat="false" ht="15" hidden="false" customHeight="false" outlineLevel="0" collapsed="false">
      <c r="A712" s="27"/>
      <c r="B712" s="23"/>
      <c r="C712" s="26" t="str">
        <f aca="false">IF($B712="","",IFERROR(INDEX(Produits!$B$5:$B$204,MATCH($B712,Produits!$A$5:$A$204,0)),"Code inconnu"))</f>
        <v/>
      </c>
      <c r="D712" s="23"/>
      <c r="E712" s="24"/>
      <c r="F712" s="21" t="str">
        <f aca="false">IF(OR($B712="",$D712=""),"",IFERROR(IF($D712="Entrée",INDEX(Produits!$E$5:$E$204,MATCH($B712,Produits!$A$5:$A$204,0)),INDEX(Produits!$F$5:$F$204,MATCH($B712,Produits!$A$5:$A$204,0))),""))</f>
        <v/>
      </c>
      <c r="G712" s="21" t="str">
        <f aca="false">IF(OR($F712="",$E712=""),"",$E712*$F712)</f>
        <v/>
      </c>
      <c r="H712" s="21" t="str">
        <f aca="false">IF(AND($D712="Sortie",$B712&lt;&gt;"",$E712&lt;&gt;""),IFERROR($E712*INDEX(Produits!$E$5:$E$204,MATCH($B712,Produits!$A$5:$A$204,0)),""),"")</f>
        <v/>
      </c>
      <c r="I712" s="23"/>
    </row>
    <row r="713" customFormat="false" ht="15" hidden="false" customHeight="false" outlineLevel="0" collapsed="false">
      <c r="A713" s="27"/>
      <c r="B713" s="23"/>
      <c r="C713" s="26" t="str">
        <f aca="false">IF($B713="","",IFERROR(INDEX(Produits!$B$5:$B$204,MATCH($B713,Produits!$A$5:$A$204,0)),"Code inconnu"))</f>
        <v/>
      </c>
      <c r="D713" s="23"/>
      <c r="E713" s="24"/>
      <c r="F713" s="21" t="str">
        <f aca="false">IF(OR($B713="",$D713=""),"",IFERROR(IF($D713="Entrée",INDEX(Produits!$E$5:$E$204,MATCH($B713,Produits!$A$5:$A$204,0)),INDEX(Produits!$F$5:$F$204,MATCH($B713,Produits!$A$5:$A$204,0))),""))</f>
        <v/>
      </c>
      <c r="G713" s="21" t="str">
        <f aca="false">IF(OR($F713="",$E713=""),"",$E713*$F713)</f>
        <v/>
      </c>
      <c r="H713" s="21" t="str">
        <f aca="false">IF(AND($D713="Sortie",$B713&lt;&gt;"",$E713&lt;&gt;""),IFERROR($E713*INDEX(Produits!$E$5:$E$204,MATCH($B713,Produits!$A$5:$A$204,0)),""),"")</f>
        <v/>
      </c>
      <c r="I713" s="23"/>
    </row>
    <row r="714" customFormat="false" ht="15" hidden="false" customHeight="false" outlineLevel="0" collapsed="false">
      <c r="A714" s="27"/>
      <c r="B714" s="23"/>
      <c r="C714" s="26" t="str">
        <f aca="false">IF($B714="","",IFERROR(INDEX(Produits!$B$5:$B$204,MATCH($B714,Produits!$A$5:$A$204,0)),"Code inconnu"))</f>
        <v/>
      </c>
      <c r="D714" s="23"/>
      <c r="E714" s="24"/>
      <c r="F714" s="21" t="str">
        <f aca="false">IF(OR($B714="",$D714=""),"",IFERROR(IF($D714="Entrée",INDEX(Produits!$E$5:$E$204,MATCH($B714,Produits!$A$5:$A$204,0)),INDEX(Produits!$F$5:$F$204,MATCH($B714,Produits!$A$5:$A$204,0))),""))</f>
        <v/>
      </c>
      <c r="G714" s="21" t="str">
        <f aca="false">IF(OR($F714="",$E714=""),"",$E714*$F714)</f>
        <v/>
      </c>
      <c r="H714" s="21" t="str">
        <f aca="false">IF(AND($D714="Sortie",$B714&lt;&gt;"",$E714&lt;&gt;""),IFERROR($E714*INDEX(Produits!$E$5:$E$204,MATCH($B714,Produits!$A$5:$A$204,0)),""),"")</f>
        <v/>
      </c>
      <c r="I714" s="23"/>
    </row>
    <row r="715" customFormat="false" ht="15" hidden="false" customHeight="false" outlineLevel="0" collapsed="false">
      <c r="A715" s="27"/>
      <c r="B715" s="23"/>
      <c r="C715" s="26" t="str">
        <f aca="false">IF($B715="","",IFERROR(INDEX(Produits!$B$5:$B$204,MATCH($B715,Produits!$A$5:$A$204,0)),"Code inconnu"))</f>
        <v/>
      </c>
      <c r="D715" s="23"/>
      <c r="E715" s="24"/>
      <c r="F715" s="21" t="str">
        <f aca="false">IF(OR($B715="",$D715=""),"",IFERROR(IF($D715="Entrée",INDEX(Produits!$E$5:$E$204,MATCH($B715,Produits!$A$5:$A$204,0)),INDEX(Produits!$F$5:$F$204,MATCH($B715,Produits!$A$5:$A$204,0))),""))</f>
        <v/>
      </c>
      <c r="G715" s="21" t="str">
        <f aca="false">IF(OR($F715="",$E715=""),"",$E715*$F715)</f>
        <v/>
      </c>
      <c r="H715" s="21" t="str">
        <f aca="false">IF(AND($D715="Sortie",$B715&lt;&gt;"",$E715&lt;&gt;""),IFERROR($E715*INDEX(Produits!$E$5:$E$204,MATCH($B715,Produits!$A$5:$A$204,0)),""),"")</f>
        <v/>
      </c>
      <c r="I715" s="23"/>
    </row>
    <row r="716" customFormat="false" ht="15" hidden="false" customHeight="false" outlineLevel="0" collapsed="false">
      <c r="A716" s="27"/>
      <c r="B716" s="23"/>
      <c r="C716" s="26" t="str">
        <f aca="false">IF($B716="","",IFERROR(INDEX(Produits!$B$5:$B$204,MATCH($B716,Produits!$A$5:$A$204,0)),"Code inconnu"))</f>
        <v/>
      </c>
      <c r="D716" s="23"/>
      <c r="E716" s="24"/>
      <c r="F716" s="21" t="str">
        <f aca="false">IF(OR($B716="",$D716=""),"",IFERROR(IF($D716="Entrée",INDEX(Produits!$E$5:$E$204,MATCH($B716,Produits!$A$5:$A$204,0)),INDEX(Produits!$F$5:$F$204,MATCH($B716,Produits!$A$5:$A$204,0))),""))</f>
        <v/>
      </c>
      <c r="G716" s="21" t="str">
        <f aca="false">IF(OR($F716="",$E716=""),"",$E716*$F716)</f>
        <v/>
      </c>
      <c r="H716" s="21" t="str">
        <f aca="false">IF(AND($D716="Sortie",$B716&lt;&gt;"",$E716&lt;&gt;""),IFERROR($E716*INDEX(Produits!$E$5:$E$204,MATCH($B716,Produits!$A$5:$A$204,0)),""),"")</f>
        <v/>
      </c>
      <c r="I716" s="23"/>
    </row>
    <row r="717" customFormat="false" ht="15" hidden="false" customHeight="false" outlineLevel="0" collapsed="false">
      <c r="A717" s="27"/>
      <c r="B717" s="23"/>
      <c r="C717" s="26" t="str">
        <f aca="false">IF($B717="","",IFERROR(INDEX(Produits!$B$5:$B$204,MATCH($B717,Produits!$A$5:$A$204,0)),"Code inconnu"))</f>
        <v/>
      </c>
      <c r="D717" s="23"/>
      <c r="E717" s="24"/>
      <c r="F717" s="21" t="str">
        <f aca="false">IF(OR($B717="",$D717=""),"",IFERROR(IF($D717="Entrée",INDEX(Produits!$E$5:$E$204,MATCH($B717,Produits!$A$5:$A$204,0)),INDEX(Produits!$F$5:$F$204,MATCH($B717,Produits!$A$5:$A$204,0))),""))</f>
        <v/>
      </c>
      <c r="G717" s="21" t="str">
        <f aca="false">IF(OR($F717="",$E717=""),"",$E717*$F717)</f>
        <v/>
      </c>
      <c r="H717" s="21" t="str">
        <f aca="false">IF(AND($D717="Sortie",$B717&lt;&gt;"",$E717&lt;&gt;""),IFERROR($E717*INDEX(Produits!$E$5:$E$204,MATCH($B717,Produits!$A$5:$A$204,0)),""),"")</f>
        <v/>
      </c>
      <c r="I717" s="23"/>
    </row>
    <row r="718" customFormat="false" ht="15" hidden="false" customHeight="false" outlineLevel="0" collapsed="false">
      <c r="A718" s="27"/>
      <c r="B718" s="23"/>
      <c r="C718" s="26" t="str">
        <f aca="false">IF($B718="","",IFERROR(INDEX(Produits!$B$5:$B$204,MATCH($B718,Produits!$A$5:$A$204,0)),"Code inconnu"))</f>
        <v/>
      </c>
      <c r="D718" s="23"/>
      <c r="E718" s="24"/>
      <c r="F718" s="21" t="str">
        <f aca="false">IF(OR($B718="",$D718=""),"",IFERROR(IF($D718="Entrée",INDEX(Produits!$E$5:$E$204,MATCH($B718,Produits!$A$5:$A$204,0)),INDEX(Produits!$F$5:$F$204,MATCH($B718,Produits!$A$5:$A$204,0))),""))</f>
        <v/>
      </c>
      <c r="G718" s="21" t="str">
        <f aca="false">IF(OR($F718="",$E718=""),"",$E718*$F718)</f>
        <v/>
      </c>
      <c r="H718" s="21" t="str">
        <f aca="false">IF(AND($D718="Sortie",$B718&lt;&gt;"",$E718&lt;&gt;""),IFERROR($E718*INDEX(Produits!$E$5:$E$204,MATCH($B718,Produits!$A$5:$A$204,0)),""),"")</f>
        <v/>
      </c>
      <c r="I718" s="23"/>
    </row>
    <row r="719" customFormat="false" ht="15" hidden="false" customHeight="false" outlineLevel="0" collapsed="false">
      <c r="A719" s="27"/>
      <c r="B719" s="23"/>
      <c r="C719" s="26" t="str">
        <f aca="false">IF($B719="","",IFERROR(INDEX(Produits!$B$5:$B$204,MATCH($B719,Produits!$A$5:$A$204,0)),"Code inconnu"))</f>
        <v/>
      </c>
      <c r="D719" s="23"/>
      <c r="E719" s="24"/>
      <c r="F719" s="21" t="str">
        <f aca="false">IF(OR($B719="",$D719=""),"",IFERROR(IF($D719="Entrée",INDEX(Produits!$E$5:$E$204,MATCH($B719,Produits!$A$5:$A$204,0)),INDEX(Produits!$F$5:$F$204,MATCH($B719,Produits!$A$5:$A$204,0))),""))</f>
        <v/>
      </c>
      <c r="G719" s="21" t="str">
        <f aca="false">IF(OR($F719="",$E719=""),"",$E719*$F719)</f>
        <v/>
      </c>
      <c r="H719" s="21" t="str">
        <f aca="false">IF(AND($D719="Sortie",$B719&lt;&gt;"",$E719&lt;&gt;""),IFERROR($E719*INDEX(Produits!$E$5:$E$204,MATCH($B719,Produits!$A$5:$A$204,0)),""),"")</f>
        <v/>
      </c>
      <c r="I719" s="23"/>
    </row>
    <row r="720" customFormat="false" ht="15" hidden="false" customHeight="false" outlineLevel="0" collapsed="false">
      <c r="A720" s="27"/>
      <c r="B720" s="23"/>
      <c r="C720" s="26" t="str">
        <f aca="false">IF($B720="","",IFERROR(INDEX(Produits!$B$5:$B$204,MATCH($B720,Produits!$A$5:$A$204,0)),"Code inconnu"))</f>
        <v/>
      </c>
      <c r="D720" s="23"/>
      <c r="E720" s="24"/>
      <c r="F720" s="21" t="str">
        <f aca="false">IF(OR($B720="",$D720=""),"",IFERROR(IF($D720="Entrée",INDEX(Produits!$E$5:$E$204,MATCH($B720,Produits!$A$5:$A$204,0)),INDEX(Produits!$F$5:$F$204,MATCH($B720,Produits!$A$5:$A$204,0))),""))</f>
        <v/>
      </c>
      <c r="G720" s="21" t="str">
        <f aca="false">IF(OR($F720="",$E720=""),"",$E720*$F720)</f>
        <v/>
      </c>
      <c r="H720" s="21" t="str">
        <f aca="false">IF(AND($D720="Sortie",$B720&lt;&gt;"",$E720&lt;&gt;""),IFERROR($E720*INDEX(Produits!$E$5:$E$204,MATCH($B720,Produits!$A$5:$A$204,0)),""),"")</f>
        <v/>
      </c>
      <c r="I720" s="23"/>
    </row>
    <row r="721" customFormat="false" ht="15" hidden="false" customHeight="false" outlineLevel="0" collapsed="false">
      <c r="A721" s="27"/>
      <c r="B721" s="23"/>
      <c r="C721" s="26" t="str">
        <f aca="false">IF($B721="","",IFERROR(INDEX(Produits!$B$5:$B$204,MATCH($B721,Produits!$A$5:$A$204,0)),"Code inconnu"))</f>
        <v/>
      </c>
      <c r="D721" s="23"/>
      <c r="E721" s="24"/>
      <c r="F721" s="21" t="str">
        <f aca="false">IF(OR($B721="",$D721=""),"",IFERROR(IF($D721="Entrée",INDEX(Produits!$E$5:$E$204,MATCH($B721,Produits!$A$5:$A$204,0)),INDEX(Produits!$F$5:$F$204,MATCH($B721,Produits!$A$5:$A$204,0))),""))</f>
        <v/>
      </c>
      <c r="G721" s="21" t="str">
        <f aca="false">IF(OR($F721="",$E721=""),"",$E721*$F721)</f>
        <v/>
      </c>
      <c r="H721" s="21" t="str">
        <f aca="false">IF(AND($D721="Sortie",$B721&lt;&gt;"",$E721&lt;&gt;""),IFERROR($E721*INDEX(Produits!$E$5:$E$204,MATCH($B721,Produits!$A$5:$A$204,0)),""),"")</f>
        <v/>
      </c>
      <c r="I721" s="23"/>
    </row>
    <row r="722" customFormat="false" ht="15" hidden="false" customHeight="false" outlineLevel="0" collapsed="false">
      <c r="A722" s="27"/>
      <c r="B722" s="23"/>
      <c r="C722" s="26" t="str">
        <f aca="false">IF($B722="","",IFERROR(INDEX(Produits!$B$5:$B$204,MATCH($B722,Produits!$A$5:$A$204,0)),"Code inconnu"))</f>
        <v/>
      </c>
      <c r="D722" s="23"/>
      <c r="E722" s="24"/>
      <c r="F722" s="21" t="str">
        <f aca="false">IF(OR($B722="",$D722=""),"",IFERROR(IF($D722="Entrée",INDEX(Produits!$E$5:$E$204,MATCH($B722,Produits!$A$5:$A$204,0)),INDEX(Produits!$F$5:$F$204,MATCH($B722,Produits!$A$5:$A$204,0))),""))</f>
        <v/>
      </c>
      <c r="G722" s="21" t="str">
        <f aca="false">IF(OR($F722="",$E722=""),"",$E722*$F722)</f>
        <v/>
      </c>
      <c r="H722" s="21" t="str">
        <f aca="false">IF(AND($D722="Sortie",$B722&lt;&gt;"",$E722&lt;&gt;""),IFERROR($E722*INDEX(Produits!$E$5:$E$204,MATCH($B722,Produits!$A$5:$A$204,0)),""),"")</f>
        <v/>
      </c>
      <c r="I722" s="23"/>
    </row>
    <row r="723" customFormat="false" ht="15" hidden="false" customHeight="false" outlineLevel="0" collapsed="false">
      <c r="A723" s="27"/>
      <c r="B723" s="23"/>
      <c r="C723" s="26" t="str">
        <f aca="false">IF($B723="","",IFERROR(INDEX(Produits!$B$5:$B$204,MATCH($B723,Produits!$A$5:$A$204,0)),"Code inconnu"))</f>
        <v/>
      </c>
      <c r="D723" s="23"/>
      <c r="E723" s="24"/>
      <c r="F723" s="21" t="str">
        <f aca="false">IF(OR($B723="",$D723=""),"",IFERROR(IF($D723="Entrée",INDEX(Produits!$E$5:$E$204,MATCH($B723,Produits!$A$5:$A$204,0)),INDEX(Produits!$F$5:$F$204,MATCH($B723,Produits!$A$5:$A$204,0))),""))</f>
        <v/>
      </c>
      <c r="G723" s="21" t="str">
        <f aca="false">IF(OR($F723="",$E723=""),"",$E723*$F723)</f>
        <v/>
      </c>
      <c r="H723" s="21" t="str">
        <f aca="false">IF(AND($D723="Sortie",$B723&lt;&gt;"",$E723&lt;&gt;""),IFERROR($E723*INDEX(Produits!$E$5:$E$204,MATCH($B723,Produits!$A$5:$A$204,0)),""),"")</f>
        <v/>
      </c>
      <c r="I723" s="23"/>
    </row>
    <row r="724" customFormat="false" ht="15" hidden="false" customHeight="false" outlineLevel="0" collapsed="false">
      <c r="A724" s="27"/>
      <c r="B724" s="23"/>
      <c r="C724" s="26" t="str">
        <f aca="false">IF($B724="","",IFERROR(INDEX(Produits!$B$5:$B$204,MATCH($B724,Produits!$A$5:$A$204,0)),"Code inconnu"))</f>
        <v/>
      </c>
      <c r="D724" s="23"/>
      <c r="E724" s="24"/>
      <c r="F724" s="21" t="str">
        <f aca="false">IF(OR($B724="",$D724=""),"",IFERROR(IF($D724="Entrée",INDEX(Produits!$E$5:$E$204,MATCH($B724,Produits!$A$5:$A$204,0)),INDEX(Produits!$F$5:$F$204,MATCH($B724,Produits!$A$5:$A$204,0))),""))</f>
        <v/>
      </c>
      <c r="G724" s="21" t="str">
        <f aca="false">IF(OR($F724="",$E724=""),"",$E724*$F724)</f>
        <v/>
      </c>
      <c r="H724" s="21" t="str">
        <f aca="false">IF(AND($D724="Sortie",$B724&lt;&gt;"",$E724&lt;&gt;""),IFERROR($E724*INDEX(Produits!$E$5:$E$204,MATCH($B724,Produits!$A$5:$A$204,0)),""),"")</f>
        <v/>
      </c>
      <c r="I724" s="23"/>
    </row>
    <row r="725" customFormat="false" ht="15" hidden="false" customHeight="false" outlineLevel="0" collapsed="false">
      <c r="A725" s="27"/>
      <c r="B725" s="23"/>
      <c r="C725" s="26" t="str">
        <f aca="false">IF($B725="","",IFERROR(INDEX(Produits!$B$5:$B$204,MATCH($B725,Produits!$A$5:$A$204,0)),"Code inconnu"))</f>
        <v/>
      </c>
      <c r="D725" s="23"/>
      <c r="E725" s="24"/>
      <c r="F725" s="21" t="str">
        <f aca="false">IF(OR($B725="",$D725=""),"",IFERROR(IF($D725="Entrée",INDEX(Produits!$E$5:$E$204,MATCH($B725,Produits!$A$5:$A$204,0)),INDEX(Produits!$F$5:$F$204,MATCH($B725,Produits!$A$5:$A$204,0))),""))</f>
        <v/>
      </c>
      <c r="G725" s="21" t="str">
        <f aca="false">IF(OR($F725="",$E725=""),"",$E725*$F725)</f>
        <v/>
      </c>
      <c r="H725" s="21" t="str">
        <f aca="false">IF(AND($D725="Sortie",$B725&lt;&gt;"",$E725&lt;&gt;""),IFERROR($E725*INDEX(Produits!$E$5:$E$204,MATCH($B725,Produits!$A$5:$A$204,0)),""),"")</f>
        <v/>
      </c>
      <c r="I725" s="23"/>
    </row>
    <row r="726" customFormat="false" ht="15" hidden="false" customHeight="false" outlineLevel="0" collapsed="false">
      <c r="A726" s="27"/>
      <c r="B726" s="23"/>
      <c r="C726" s="26" t="str">
        <f aca="false">IF($B726="","",IFERROR(INDEX(Produits!$B$5:$B$204,MATCH($B726,Produits!$A$5:$A$204,0)),"Code inconnu"))</f>
        <v/>
      </c>
      <c r="D726" s="23"/>
      <c r="E726" s="24"/>
      <c r="F726" s="21" t="str">
        <f aca="false">IF(OR($B726="",$D726=""),"",IFERROR(IF($D726="Entrée",INDEX(Produits!$E$5:$E$204,MATCH($B726,Produits!$A$5:$A$204,0)),INDEX(Produits!$F$5:$F$204,MATCH($B726,Produits!$A$5:$A$204,0))),""))</f>
        <v/>
      </c>
      <c r="G726" s="21" t="str">
        <f aca="false">IF(OR($F726="",$E726=""),"",$E726*$F726)</f>
        <v/>
      </c>
      <c r="H726" s="21" t="str">
        <f aca="false">IF(AND($D726="Sortie",$B726&lt;&gt;"",$E726&lt;&gt;""),IFERROR($E726*INDEX(Produits!$E$5:$E$204,MATCH($B726,Produits!$A$5:$A$204,0)),""),"")</f>
        <v/>
      </c>
      <c r="I726" s="23"/>
    </row>
    <row r="727" customFormat="false" ht="15" hidden="false" customHeight="false" outlineLevel="0" collapsed="false">
      <c r="A727" s="27"/>
      <c r="B727" s="23"/>
      <c r="C727" s="26" t="str">
        <f aca="false">IF($B727="","",IFERROR(INDEX(Produits!$B$5:$B$204,MATCH($B727,Produits!$A$5:$A$204,0)),"Code inconnu"))</f>
        <v/>
      </c>
      <c r="D727" s="23"/>
      <c r="E727" s="24"/>
      <c r="F727" s="21" t="str">
        <f aca="false">IF(OR($B727="",$D727=""),"",IFERROR(IF($D727="Entrée",INDEX(Produits!$E$5:$E$204,MATCH($B727,Produits!$A$5:$A$204,0)),INDEX(Produits!$F$5:$F$204,MATCH($B727,Produits!$A$5:$A$204,0))),""))</f>
        <v/>
      </c>
      <c r="G727" s="21" t="str">
        <f aca="false">IF(OR($F727="",$E727=""),"",$E727*$F727)</f>
        <v/>
      </c>
      <c r="H727" s="21" t="str">
        <f aca="false">IF(AND($D727="Sortie",$B727&lt;&gt;"",$E727&lt;&gt;""),IFERROR($E727*INDEX(Produits!$E$5:$E$204,MATCH($B727,Produits!$A$5:$A$204,0)),""),"")</f>
        <v/>
      </c>
      <c r="I727" s="23"/>
    </row>
    <row r="728" customFormat="false" ht="15" hidden="false" customHeight="false" outlineLevel="0" collapsed="false">
      <c r="A728" s="27"/>
      <c r="B728" s="23"/>
      <c r="C728" s="26" t="str">
        <f aca="false">IF($B728="","",IFERROR(INDEX(Produits!$B$5:$B$204,MATCH($B728,Produits!$A$5:$A$204,0)),"Code inconnu"))</f>
        <v/>
      </c>
      <c r="D728" s="23"/>
      <c r="E728" s="24"/>
      <c r="F728" s="21" t="str">
        <f aca="false">IF(OR($B728="",$D728=""),"",IFERROR(IF($D728="Entrée",INDEX(Produits!$E$5:$E$204,MATCH($B728,Produits!$A$5:$A$204,0)),INDEX(Produits!$F$5:$F$204,MATCH($B728,Produits!$A$5:$A$204,0))),""))</f>
        <v/>
      </c>
      <c r="G728" s="21" t="str">
        <f aca="false">IF(OR($F728="",$E728=""),"",$E728*$F728)</f>
        <v/>
      </c>
      <c r="H728" s="21" t="str">
        <f aca="false">IF(AND($D728="Sortie",$B728&lt;&gt;"",$E728&lt;&gt;""),IFERROR($E728*INDEX(Produits!$E$5:$E$204,MATCH($B728,Produits!$A$5:$A$204,0)),""),"")</f>
        <v/>
      </c>
      <c r="I728" s="23"/>
    </row>
    <row r="729" customFormat="false" ht="15" hidden="false" customHeight="false" outlineLevel="0" collapsed="false">
      <c r="A729" s="27"/>
      <c r="B729" s="23"/>
      <c r="C729" s="26" t="str">
        <f aca="false">IF($B729="","",IFERROR(INDEX(Produits!$B$5:$B$204,MATCH($B729,Produits!$A$5:$A$204,0)),"Code inconnu"))</f>
        <v/>
      </c>
      <c r="D729" s="23"/>
      <c r="E729" s="24"/>
      <c r="F729" s="21" t="str">
        <f aca="false">IF(OR($B729="",$D729=""),"",IFERROR(IF($D729="Entrée",INDEX(Produits!$E$5:$E$204,MATCH($B729,Produits!$A$5:$A$204,0)),INDEX(Produits!$F$5:$F$204,MATCH($B729,Produits!$A$5:$A$204,0))),""))</f>
        <v/>
      </c>
      <c r="G729" s="21" t="str">
        <f aca="false">IF(OR($F729="",$E729=""),"",$E729*$F729)</f>
        <v/>
      </c>
      <c r="H729" s="21" t="str">
        <f aca="false">IF(AND($D729="Sortie",$B729&lt;&gt;"",$E729&lt;&gt;""),IFERROR($E729*INDEX(Produits!$E$5:$E$204,MATCH($B729,Produits!$A$5:$A$204,0)),""),"")</f>
        <v/>
      </c>
      <c r="I729" s="23"/>
    </row>
    <row r="730" customFormat="false" ht="15" hidden="false" customHeight="false" outlineLevel="0" collapsed="false">
      <c r="A730" s="27"/>
      <c r="B730" s="23"/>
      <c r="C730" s="26" t="str">
        <f aca="false">IF($B730="","",IFERROR(INDEX(Produits!$B$5:$B$204,MATCH($B730,Produits!$A$5:$A$204,0)),"Code inconnu"))</f>
        <v/>
      </c>
      <c r="D730" s="23"/>
      <c r="E730" s="24"/>
      <c r="F730" s="21" t="str">
        <f aca="false">IF(OR($B730="",$D730=""),"",IFERROR(IF($D730="Entrée",INDEX(Produits!$E$5:$E$204,MATCH($B730,Produits!$A$5:$A$204,0)),INDEX(Produits!$F$5:$F$204,MATCH($B730,Produits!$A$5:$A$204,0))),""))</f>
        <v/>
      </c>
      <c r="G730" s="21" t="str">
        <f aca="false">IF(OR($F730="",$E730=""),"",$E730*$F730)</f>
        <v/>
      </c>
      <c r="H730" s="21" t="str">
        <f aca="false">IF(AND($D730="Sortie",$B730&lt;&gt;"",$E730&lt;&gt;""),IFERROR($E730*INDEX(Produits!$E$5:$E$204,MATCH($B730,Produits!$A$5:$A$204,0)),""),"")</f>
        <v/>
      </c>
      <c r="I730" s="23"/>
    </row>
    <row r="731" customFormat="false" ht="15" hidden="false" customHeight="false" outlineLevel="0" collapsed="false">
      <c r="A731" s="27"/>
      <c r="B731" s="23"/>
      <c r="C731" s="26" t="str">
        <f aca="false">IF($B731="","",IFERROR(INDEX(Produits!$B$5:$B$204,MATCH($B731,Produits!$A$5:$A$204,0)),"Code inconnu"))</f>
        <v/>
      </c>
      <c r="D731" s="23"/>
      <c r="E731" s="24"/>
      <c r="F731" s="21" t="str">
        <f aca="false">IF(OR($B731="",$D731=""),"",IFERROR(IF($D731="Entrée",INDEX(Produits!$E$5:$E$204,MATCH($B731,Produits!$A$5:$A$204,0)),INDEX(Produits!$F$5:$F$204,MATCH($B731,Produits!$A$5:$A$204,0))),""))</f>
        <v/>
      </c>
      <c r="G731" s="21" t="str">
        <f aca="false">IF(OR($F731="",$E731=""),"",$E731*$F731)</f>
        <v/>
      </c>
      <c r="H731" s="21" t="str">
        <f aca="false">IF(AND($D731="Sortie",$B731&lt;&gt;"",$E731&lt;&gt;""),IFERROR($E731*INDEX(Produits!$E$5:$E$204,MATCH($B731,Produits!$A$5:$A$204,0)),""),"")</f>
        <v/>
      </c>
      <c r="I731" s="23"/>
    </row>
    <row r="732" customFormat="false" ht="15" hidden="false" customHeight="false" outlineLevel="0" collapsed="false">
      <c r="A732" s="27"/>
      <c r="B732" s="23"/>
      <c r="C732" s="26" t="str">
        <f aca="false">IF($B732="","",IFERROR(INDEX(Produits!$B$5:$B$204,MATCH($B732,Produits!$A$5:$A$204,0)),"Code inconnu"))</f>
        <v/>
      </c>
      <c r="D732" s="23"/>
      <c r="E732" s="24"/>
      <c r="F732" s="21" t="str">
        <f aca="false">IF(OR($B732="",$D732=""),"",IFERROR(IF($D732="Entrée",INDEX(Produits!$E$5:$E$204,MATCH($B732,Produits!$A$5:$A$204,0)),INDEX(Produits!$F$5:$F$204,MATCH($B732,Produits!$A$5:$A$204,0))),""))</f>
        <v/>
      </c>
      <c r="G732" s="21" t="str">
        <f aca="false">IF(OR($F732="",$E732=""),"",$E732*$F732)</f>
        <v/>
      </c>
      <c r="H732" s="21" t="str">
        <f aca="false">IF(AND($D732="Sortie",$B732&lt;&gt;"",$E732&lt;&gt;""),IFERROR($E732*INDEX(Produits!$E$5:$E$204,MATCH($B732,Produits!$A$5:$A$204,0)),""),"")</f>
        <v/>
      </c>
      <c r="I732" s="23"/>
    </row>
    <row r="733" customFormat="false" ht="15" hidden="false" customHeight="false" outlineLevel="0" collapsed="false">
      <c r="A733" s="27"/>
      <c r="B733" s="23"/>
      <c r="C733" s="26" t="str">
        <f aca="false">IF($B733="","",IFERROR(INDEX(Produits!$B$5:$B$204,MATCH($B733,Produits!$A$5:$A$204,0)),"Code inconnu"))</f>
        <v/>
      </c>
      <c r="D733" s="23"/>
      <c r="E733" s="24"/>
      <c r="F733" s="21" t="str">
        <f aca="false">IF(OR($B733="",$D733=""),"",IFERROR(IF($D733="Entrée",INDEX(Produits!$E$5:$E$204,MATCH($B733,Produits!$A$5:$A$204,0)),INDEX(Produits!$F$5:$F$204,MATCH($B733,Produits!$A$5:$A$204,0))),""))</f>
        <v/>
      </c>
      <c r="G733" s="21" t="str">
        <f aca="false">IF(OR($F733="",$E733=""),"",$E733*$F733)</f>
        <v/>
      </c>
      <c r="H733" s="21" t="str">
        <f aca="false">IF(AND($D733="Sortie",$B733&lt;&gt;"",$E733&lt;&gt;""),IFERROR($E733*INDEX(Produits!$E$5:$E$204,MATCH($B733,Produits!$A$5:$A$204,0)),""),"")</f>
        <v/>
      </c>
      <c r="I733" s="23"/>
    </row>
    <row r="734" customFormat="false" ht="15" hidden="false" customHeight="false" outlineLevel="0" collapsed="false">
      <c r="A734" s="27"/>
      <c r="B734" s="23"/>
      <c r="C734" s="26" t="str">
        <f aca="false">IF($B734="","",IFERROR(INDEX(Produits!$B$5:$B$204,MATCH($B734,Produits!$A$5:$A$204,0)),"Code inconnu"))</f>
        <v/>
      </c>
      <c r="D734" s="23"/>
      <c r="E734" s="24"/>
      <c r="F734" s="21" t="str">
        <f aca="false">IF(OR($B734="",$D734=""),"",IFERROR(IF($D734="Entrée",INDEX(Produits!$E$5:$E$204,MATCH($B734,Produits!$A$5:$A$204,0)),INDEX(Produits!$F$5:$F$204,MATCH($B734,Produits!$A$5:$A$204,0))),""))</f>
        <v/>
      </c>
      <c r="G734" s="21" t="str">
        <f aca="false">IF(OR($F734="",$E734=""),"",$E734*$F734)</f>
        <v/>
      </c>
      <c r="H734" s="21" t="str">
        <f aca="false">IF(AND($D734="Sortie",$B734&lt;&gt;"",$E734&lt;&gt;""),IFERROR($E734*INDEX(Produits!$E$5:$E$204,MATCH($B734,Produits!$A$5:$A$204,0)),""),"")</f>
        <v/>
      </c>
      <c r="I734" s="23"/>
    </row>
    <row r="735" customFormat="false" ht="15" hidden="false" customHeight="false" outlineLevel="0" collapsed="false">
      <c r="A735" s="27"/>
      <c r="B735" s="23"/>
      <c r="C735" s="26" t="str">
        <f aca="false">IF($B735="","",IFERROR(INDEX(Produits!$B$5:$B$204,MATCH($B735,Produits!$A$5:$A$204,0)),"Code inconnu"))</f>
        <v/>
      </c>
      <c r="D735" s="23"/>
      <c r="E735" s="24"/>
      <c r="F735" s="21" t="str">
        <f aca="false">IF(OR($B735="",$D735=""),"",IFERROR(IF($D735="Entrée",INDEX(Produits!$E$5:$E$204,MATCH($B735,Produits!$A$5:$A$204,0)),INDEX(Produits!$F$5:$F$204,MATCH($B735,Produits!$A$5:$A$204,0))),""))</f>
        <v/>
      </c>
      <c r="G735" s="21" t="str">
        <f aca="false">IF(OR($F735="",$E735=""),"",$E735*$F735)</f>
        <v/>
      </c>
      <c r="H735" s="21" t="str">
        <f aca="false">IF(AND($D735="Sortie",$B735&lt;&gt;"",$E735&lt;&gt;""),IFERROR($E735*INDEX(Produits!$E$5:$E$204,MATCH($B735,Produits!$A$5:$A$204,0)),""),"")</f>
        <v/>
      </c>
      <c r="I735" s="23"/>
    </row>
    <row r="736" customFormat="false" ht="15" hidden="false" customHeight="false" outlineLevel="0" collapsed="false">
      <c r="A736" s="27"/>
      <c r="B736" s="23"/>
      <c r="C736" s="26" t="str">
        <f aca="false">IF($B736="","",IFERROR(INDEX(Produits!$B$5:$B$204,MATCH($B736,Produits!$A$5:$A$204,0)),"Code inconnu"))</f>
        <v/>
      </c>
      <c r="D736" s="23"/>
      <c r="E736" s="24"/>
      <c r="F736" s="21" t="str">
        <f aca="false">IF(OR($B736="",$D736=""),"",IFERROR(IF($D736="Entrée",INDEX(Produits!$E$5:$E$204,MATCH($B736,Produits!$A$5:$A$204,0)),INDEX(Produits!$F$5:$F$204,MATCH($B736,Produits!$A$5:$A$204,0))),""))</f>
        <v/>
      </c>
      <c r="G736" s="21" t="str">
        <f aca="false">IF(OR($F736="",$E736=""),"",$E736*$F736)</f>
        <v/>
      </c>
      <c r="H736" s="21" t="str">
        <f aca="false">IF(AND($D736="Sortie",$B736&lt;&gt;"",$E736&lt;&gt;""),IFERROR($E736*INDEX(Produits!$E$5:$E$204,MATCH($B736,Produits!$A$5:$A$204,0)),""),"")</f>
        <v/>
      </c>
      <c r="I736" s="23"/>
    </row>
    <row r="737" customFormat="false" ht="15" hidden="false" customHeight="false" outlineLevel="0" collapsed="false">
      <c r="A737" s="27"/>
      <c r="B737" s="23"/>
      <c r="C737" s="26" t="str">
        <f aca="false">IF($B737="","",IFERROR(INDEX(Produits!$B$5:$B$204,MATCH($B737,Produits!$A$5:$A$204,0)),"Code inconnu"))</f>
        <v/>
      </c>
      <c r="D737" s="23"/>
      <c r="E737" s="24"/>
      <c r="F737" s="21" t="str">
        <f aca="false">IF(OR($B737="",$D737=""),"",IFERROR(IF($D737="Entrée",INDEX(Produits!$E$5:$E$204,MATCH($B737,Produits!$A$5:$A$204,0)),INDEX(Produits!$F$5:$F$204,MATCH($B737,Produits!$A$5:$A$204,0))),""))</f>
        <v/>
      </c>
      <c r="G737" s="21" t="str">
        <f aca="false">IF(OR($F737="",$E737=""),"",$E737*$F737)</f>
        <v/>
      </c>
      <c r="H737" s="21" t="str">
        <f aca="false">IF(AND($D737="Sortie",$B737&lt;&gt;"",$E737&lt;&gt;""),IFERROR($E737*INDEX(Produits!$E$5:$E$204,MATCH($B737,Produits!$A$5:$A$204,0)),""),"")</f>
        <v/>
      </c>
      <c r="I737" s="23"/>
    </row>
    <row r="738" customFormat="false" ht="15" hidden="false" customHeight="false" outlineLevel="0" collapsed="false">
      <c r="A738" s="27"/>
      <c r="B738" s="23"/>
      <c r="C738" s="26" t="str">
        <f aca="false">IF($B738="","",IFERROR(INDEX(Produits!$B$5:$B$204,MATCH($B738,Produits!$A$5:$A$204,0)),"Code inconnu"))</f>
        <v/>
      </c>
      <c r="D738" s="23"/>
      <c r="E738" s="24"/>
      <c r="F738" s="21" t="str">
        <f aca="false">IF(OR($B738="",$D738=""),"",IFERROR(IF($D738="Entrée",INDEX(Produits!$E$5:$E$204,MATCH($B738,Produits!$A$5:$A$204,0)),INDEX(Produits!$F$5:$F$204,MATCH($B738,Produits!$A$5:$A$204,0))),""))</f>
        <v/>
      </c>
      <c r="G738" s="21" t="str">
        <f aca="false">IF(OR($F738="",$E738=""),"",$E738*$F738)</f>
        <v/>
      </c>
      <c r="H738" s="21" t="str">
        <f aca="false">IF(AND($D738="Sortie",$B738&lt;&gt;"",$E738&lt;&gt;""),IFERROR($E738*INDEX(Produits!$E$5:$E$204,MATCH($B738,Produits!$A$5:$A$204,0)),""),"")</f>
        <v/>
      </c>
      <c r="I738" s="23"/>
    </row>
    <row r="739" customFormat="false" ht="15" hidden="false" customHeight="false" outlineLevel="0" collapsed="false">
      <c r="A739" s="27"/>
      <c r="B739" s="23"/>
      <c r="C739" s="26" t="str">
        <f aca="false">IF($B739="","",IFERROR(INDEX(Produits!$B$5:$B$204,MATCH($B739,Produits!$A$5:$A$204,0)),"Code inconnu"))</f>
        <v/>
      </c>
      <c r="D739" s="23"/>
      <c r="E739" s="24"/>
      <c r="F739" s="21" t="str">
        <f aca="false">IF(OR($B739="",$D739=""),"",IFERROR(IF($D739="Entrée",INDEX(Produits!$E$5:$E$204,MATCH($B739,Produits!$A$5:$A$204,0)),INDEX(Produits!$F$5:$F$204,MATCH($B739,Produits!$A$5:$A$204,0))),""))</f>
        <v/>
      </c>
      <c r="G739" s="21" t="str">
        <f aca="false">IF(OR($F739="",$E739=""),"",$E739*$F739)</f>
        <v/>
      </c>
      <c r="H739" s="21" t="str">
        <f aca="false">IF(AND($D739="Sortie",$B739&lt;&gt;"",$E739&lt;&gt;""),IFERROR($E739*INDEX(Produits!$E$5:$E$204,MATCH($B739,Produits!$A$5:$A$204,0)),""),"")</f>
        <v/>
      </c>
      <c r="I739" s="23"/>
    </row>
    <row r="740" customFormat="false" ht="15" hidden="false" customHeight="false" outlineLevel="0" collapsed="false">
      <c r="A740" s="27"/>
      <c r="B740" s="23"/>
      <c r="C740" s="26" t="str">
        <f aca="false">IF($B740="","",IFERROR(INDEX(Produits!$B$5:$B$204,MATCH($B740,Produits!$A$5:$A$204,0)),"Code inconnu"))</f>
        <v/>
      </c>
      <c r="D740" s="23"/>
      <c r="E740" s="24"/>
      <c r="F740" s="21" t="str">
        <f aca="false">IF(OR($B740="",$D740=""),"",IFERROR(IF($D740="Entrée",INDEX(Produits!$E$5:$E$204,MATCH($B740,Produits!$A$5:$A$204,0)),INDEX(Produits!$F$5:$F$204,MATCH($B740,Produits!$A$5:$A$204,0))),""))</f>
        <v/>
      </c>
      <c r="G740" s="21" t="str">
        <f aca="false">IF(OR($F740="",$E740=""),"",$E740*$F740)</f>
        <v/>
      </c>
      <c r="H740" s="21" t="str">
        <f aca="false">IF(AND($D740="Sortie",$B740&lt;&gt;"",$E740&lt;&gt;""),IFERROR($E740*INDEX(Produits!$E$5:$E$204,MATCH($B740,Produits!$A$5:$A$204,0)),""),"")</f>
        <v/>
      </c>
      <c r="I740" s="23"/>
    </row>
    <row r="741" customFormat="false" ht="15" hidden="false" customHeight="false" outlineLevel="0" collapsed="false">
      <c r="A741" s="27"/>
      <c r="B741" s="23"/>
      <c r="C741" s="26" t="str">
        <f aca="false">IF($B741="","",IFERROR(INDEX(Produits!$B$5:$B$204,MATCH($B741,Produits!$A$5:$A$204,0)),"Code inconnu"))</f>
        <v/>
      </c>
      <c r="D741" s="23"/>
      <c r="E741" s="24"/>
      <c r="F741" s="21" t="str">
        <f aca="false">IF(OR($B741="",$D741=""),"",IFERROR(IF($D741="Entrée",INDEX(Produits!$E$5:$E$204,MATCH($B741,Produits!$A$5:$A$204,0)),INDEX(Produits!$F$5:$F$204,MATCH($B741,Produits!$A$5:$A$204,0))),""))</f>
        <v/>
      </c>
      <c r="G741" s="21" t="str">
        <f aca="false">IF(OR($F741="",$E741=""),"",$E741*$F741)</f>
        <v/>
      </c>
      <c r="H741" s="21" t="str">
        <f aca="false">IF(AND($D741="Sortie",$B741&lt;&gt;"",$E741&lt;&gt;""),IFERROR($E741*INDEX(Produits!$E$5:$E$204,MATCH($B741,Produits!$A$5:$A$204,0)),""),"")</f>
        <v/>
      </c>
      <c r="I741" s="23"/>
    </row>
    <row r="742" customFormat="false" ht="15" hidden="false" customHeight="false" outlineLevel="0" collapsed="false">
      <c r="A742" s="27"/>
      <c r="B742" s="23"/>
      <c r="C742" s="26" t="str">
        <f aca="false">IF($B742="","",IFERROR(INDEX(Produits!$B$5:$B$204,MATCH($B742,Produits!$A$5:$A$204,0)),"Code inconnu"))</f>
        <v/>
      </c>
      <c r="D742" s="23"/>
      <c r="E742" s="24"/>
      <c r="F742" s="21" t="str">
        <f aca="false">IF(OR($B742="",$D742=""),"",IFERROR(IF($D742="Entrée",INDEX(Produits!$E$5:$E$204,MATCH($B742,Produits!$A$5:$A$204,0)),INDEX(Produits!$F$5:$F$204,MATCH($B742,Produits!$A$5:$A$204,0))),""))</f>
        <v/>
      </c>
      <c r="G742" s="21" t="str">
        <f aca="false">IF(OR($F742="",$E742=""),"",$E742*$F742)</f>
        <v/>
      </c>
      <c r="H742" s="21" t="str">
        <f aca="false">IF(AND($D742="Sortie",$B742&lt;&gt;"",$E742&lt;&gt;""),IFERROR($E742*INDEX(Produits!$E$5:$E$204,MATCH($B742,Produits!$A$5:$A$204,0)),""),"")</f>
        <v/>
      </c>
      <c r="I742" s="23"/>
    </row>
    <row r="743" customFormat="false" ht="15" hidden="false" customHeight="false" outlineLevel="0" collapsed="false">
      <c r="A743" s="27"/>
      <c r="B743" s="23"/>
      <c r="C743" s="26" t="str">
        <f aca="false">IF($B743="","",IFERROR(INDEX(Produits!$B$5:$B$204,MATCH($B743,Produits!$A$5:$A$204,0)),"Code inconnu"))</f>
        <v/>
      </c>
      <c r="D743" s="23"/>
      <c r="E743" s="24"/>
      <c r="F743" s="21" t="str">
        <f aca="false">IF(OR($B743="",$D743=""),"",IFERROR(IF($D743="Entrée",INDEX(Produits!$E$5:$E$204,MATCH($B743,Produits!$A$5:$A$204,0)),INDEX(Produits!$F$5:$F$204,MATCH($B743,Produits!$A$5:$A$204,0))),""))</f>
        <v/>
      </c>
      <c r="G743" s="21" t="str">
        <f aca="false">IF(OR($F743="",$E743=""),"",$E743*$F743)</f>
        <v/>
      </c>
      <c r="H743" s="21" t="str">
        <f aca="false">IF(AND($D743="Sortie",$B743&lt;&gt;"",$E743&lt;&gt;""),IFERROR($E743*INDEX(Produits!$E$5:$E$204,MATCH($B743,Produits!$A$5:$A$204,0)),""),"")</f>
        <v/>
      </c>
      <c r="I743" s="23"/>
    </row>
    <row r="744" customFormat="false" ht="15" hidden="false" customHeight="false" outlineLevel="0" collapsed="false">
      <c r="A744" s="27"/>
      <c r="B744" s="23"/>
      <c r="C744" s="26" t="str">
        <f aca="false">IF($B744="","",IFERROR(INDEX(Produits!$B$5:$B$204,MATCH($B744,Produits!$A$5:$A$204,0)),"Code inconnu"))</f>
        <v/>
      </c>
      <c r="D744" s="23"/>
      <c r="E744" s="24"/>
      <c r="F744" s="21" t="str">
        <f aca="false">IF(OR($B744="",$D744=""),"",IFERROR(IF($D744="Entrée",INDEX(Produits!$E$5:$E$204,MATCH($B744,Produits!$A$5:$A$204,0)),INDEX(Produits!$F$5:$F$204,MATCH($B744,Produits!$A$5:$A$204,0))),""))</f>
        <v/>
      </c>
      <c r="G744" s="21" t="str">
        <f aca="false">IF(OR($F744="",$E744=""),"",$E744*$F744)</f>
        <v/>
      </c>
      <c r="H744" s="21" t="str">
        <f aca="false">IF(AND($D744="Sortie",$B744&lt;&gt;"",$E744&lt;&gt;""),IFERROR($E744*INDEX(Produits!$E$5:$E$204,MATCH($B744,Produits!$A$5:$A$204,0)),""),"")</f>
        <v/>
      </c>
      <c r="I744" s="23"/>
    </row>
    <row r="745" customFormat="false" ht="15" hidden="false" customHeight="false" outlineLevel="0" collapsed="false">
      <c r="A745" s="27"/>
      <c r="B745" s="23"/>
      <c r="C745" s="26" t="str">
        <f aca="false">IF($B745="","",IFERROR(INDEX(Produits!$B$5:$B$204,MATCH($B745,Produits!$A$5:$A$204,0)),"Code inconnu"))</f>
        <v/>
      </c>
      <c r="D745" s="23"/>
      <c r="E745" s="24"/>
      <c r="F745" s="21" t="str">
        <f aca="false">IF(OR($B745="",$D745=""),"",IFERROR(IF($D745="Entrée",INDEX(Produits!$E$5:$E$204,MATCH($B745,Produits!$A$5:$A$204,0)),INDEX(Produits!$F$5:$F$204,MATCH($B745,Produits!$A$5:$A$204,0))),""))</f>
        <v/>
      </c>
      <c r="G745" s="21" t="str">
        <f aca="false">IF(OR($F745="",$E745=""),"",$E745*$F745)</f>
        <v/>
      </c>
      <c r="H745" s="21" t="str">
        <f aca="false">IF(AND($D745="Sortie",$B745&lt;&gt;"",$E745&lt;&gt;""),IFERROR($E745*INDEX(Produits!$E$5:$E$204,MATCH($B745,Produits!$A$5:$A$204,0)),""),"")</f>
        <v/>
      </c>
      <c r="I745" s="23"/>
    </row>
    <row r="746" customFormat="false" ht="15" hidden="false" customHeight="false" outlineLevel="0" collapsed="false">
      <c r="A746" s="27"/>
      <c r="B746" s="23"/>
      <c r="C746" s="26" t="str">
        <f aca="false">IF($B746="","",IFERROR(INDEX(Produits!$B$5:$B$204,MATCH($B746,Produits!$A$5:$A$204,0)),"Code inconnu"))</f>
        <v/>
      </c>
      <c r="D746" s="23"/>
      <c r="E746" s="24"/>
      <c r="F746" s="21" t="str">
        <f aca="false">IF(OR($B746="",$D746=""),"",IFERROR(IF($D746="Entrée",INDEX(Produits!$E$5:$E$204,MATCH($B746,Produits!$A$5:$A$204,0)),INDEX(Produits!$F$5:$F$204,MATCH($B746,Produits!$A$5:$A$204,0))),""))</f>
        <v/>
      </c>
      <c r="G746" s="21" t="str">
        <f aca="false">IF(OR($F746="",$E746=""),"",$E746*$F746)</f>
        <v/>
      </c>
      <c r="H746" s="21" t="str">
        <f aca="false">IF(AND($D746="Sortie",$B746&lt;&gt;"",$E746&lt;&gt;""),IFERROR($E746*INDEX(Produits!$E$5:$E$204,MATCH($B746,Produits!$A$5:$A$204,0)),""),"")</f>
        <v/>
      </c>
      <c r="I746" s="23"/>
    </row>
    <row r="747" customFormat="false" ht="15" hidden="false" customHeight="false" outlineLevel="0" collapsed="false">
      <c r="A747" s="27"/>
      <c r="B747" s="23"/>
      <c r="C747" s="26" t="str">
        <f aca="false">IF($B747="","",IFERROR(INDEX(Produits!$B$5:$B$204,MATCH($B747,Produits!$A$5:$A$204,0)),"Code inconnu"))</f>
        <v/>
      </c>
      <c r="D747" s="23"/>
      <c r="E747" s="24"/>
      <c r="F747" s="21" t="str">
        <f aca="false">IF(OR($B747="",$D747=""),"",IFERROR(IF($D747="Entrée",INDEX(Produits!$E$5:$E$204,MATCH($B747,Produits!$A$5:$A$204,0)),INDEX(Produits!$F$5:$F$204,MATCH($B747,Produits!$A$5:$A$204,0))),""))</f>
        <v/>
      </c>
      <c r="G747" s="21" t="str">
        <f aca="false">IF(OR($F747="",$E747=""),"",$E747*$F747)</f>
        <v/>
      </c>
      <c r="H747" s="21" t="str">
        <f aca="false">IF(AND($D747="Sortie",$B747&lt;&gt;"",$E747&lt;&gt;""),IFERROR($E747*INDEX(Produits!$E$5:$E$204,MATCH($B747,Produits!$A$5:$A$204,0)),""),"")</f>
        <v/>
      </c>
      <c r="I747" s="23"/>
    </row>
    <row r="748" customFormat="false" ht="15" hidden="false" customHeight="false" outlineLevel="0" collapsed="false">
      <c r="A748" s="27"/>
      <c r="B748" s="23"/>
      <c r="C748" s="26" t="str">
        <f aca="false">IF($B748="","",IFERROR(INDEX(Produits!$B$5:$B$204,MATCH($B748,Produits!$A$5:$A$204,0)),"Code inconnu"))</f>
        <v/>
      </c>
      <c r="D748" s="23"/>
      <c r="E748" s="24"/>
      <c r="F748" s="21" t="str">
        <f aca="false">IF(OR($B748="",$D748=""),"",IFERROR(IF($D748="Entrée",INDEX(Produits!$E$5:$E$204,MATCH($B748,Produits!$A$5:$A$204,0)),INDEX(Produits!$F$5:$F$204,MATCH($B748,Produits!$A$5:$A$204,0))),""))</f>
        <v/>
      </c>
      <c r="G748" s="21" t="str">
        <f aca="false">IF(OR($F748="",$E748=""),"",$E748*$F748)</f>
        <v/>
      </c>
      <c r="H748" s="21" t="str">
        <f aca="false">IF(AND($D748="Sortie",$B748&lt;&gt;"",$E748&lt;&gt;""),IFERROR($E748*INDEX(Produits!$E$5:$E$204,MATCH($B748,Produits!$A$5:$A$204,0)),""),"")</f>
        <v/>
      </c>
      <c r="I748" s="23"/>
    </row>
    <row r="749" customFormat="false" ht="15" hidden="false" customHeight="false" outlineLevel="0" collapsed="false">
      <c r="A749" s="27"/>
      <c r="B749" s="23"/>
      <c r="C749" s="26" t="str">
        <f aca="false">IF($B749="","",IFERROR(INDEX(Produits!$B$5:$B$204,MATCH($B749,Produits!$A$5:$A$204,0)),"Code inconnu"))</f>
        <v/>
      </c>
      <c r="D749" s="23"/>
      <c r="E749" s="24"/>
      <c r="F749" s="21" t="str">
        <f aca="false">IF(OR($B749="",$D749=""),"",IFERROR(IF($D749="Entrée",INDEX(Produits!$E$5:$E$204,MATCH($B749,Produits!$A$5:$A$204,0)),INDEX(Produits!$F$5:$F$204,MATCH($B749,Produits!$A$5:$A$204,0))),""))</f>
        <v/>
      </c>
      <c r="G749" s="21" t="str">
        <f aca="false">IF(OR($F749="",$E749=""),"",$E749*$F749)</f>
        <v/>
      </c>
      <c r="H749" s="21" t="str">
        <f aca="false">IF(AND($D749="Sortie",$B749&lt;&gt;"",$E749&lt;&gt;""),IFERROR($E749*INDEX(Produits!$E$5:$E$204,MATCH($B749,Produits!$A$5:$A$204,0)),""),"")</f>
        <v/>
      </c>
      <c r="I749" s="23"/>
    </row>
    <row r="750" customFormat="false" ht="15" hidden="false" customHeight="false" outlineLevel="0" collapsed="false">
      <c r="A750" s="27"/>
      <c r="B750" s="23"/>
      <c r="C750" s="26" t="str">
        <f aca="false">IF($B750="","",IFERROR(INDEX(Produits!$B$5:$B$204,MATCH($B750,Produits!$A$5:$A$204,0)),"Code inconnu"))</f>
        <v/>
      </c>
      <c r="D750" s="23"/>
      <c r="E750" s="24"/>
      <c r="F750" s="21" t="str">
        <f aca="false">IF(OR($B750="",$D750=""),"",IFERROR(IF($D750="Entrée",INDEX(Produits!$E$5:$E$204,MATCH($B750,Produits!$A$5:$A$204,0)),INDEX(Produits!$F$5:$F$204,MATCH($B750,Produits!$A$5:$A$204,0))),""))</f>
        <v/>
      </c>
      <c r="G750" s="21" t="str">
        <f aca="false">IF(OR($F750="",$E750=""),"",$E750*$F750)</f>
        <v/>
      </c>
      <c r="H750" s="21" t="str">
        <f aca="false">IF(AND($D750="Sortie",$B750&lt;&gt;"",$E750&lt;&gt;""),IFERROR($E750*INDEX(Produits!$E$5:$E$204,MATCH($B750,Produits!$A$5:$A$204,0)),""),"")</f>
        <v/>
      </c>
      <c r="I750" s="23"/>
    </row>
    <row r="751" customFormat="false" ht="15" hidden="false" customHeight="false" outlineLevel="0" collapsed="false">
      <c r="A751" s="27"/>
      <c r="B751" s="23"/>
      <c r="C751" s="26" t="str">
        <f aca="false">IF($B751="","",IFERROR(INDEX(Produits!$B$5:$B$204,MATCH($B751,Produits!$A$5:$A$204,0)),"Code inconnu"))</f>
        <v/>
      </c>
      <c r="D751" s="23"/>
      <c r="E751" s="24"/>
      <c r="F751" s="21" t="str">
        <f aca="false">IF(OR($B751="",$D751=""),"",IFERROR(IF($D751="Entrée",INDEX(Produits!$E$5:$E$204,MATCH($B751,Produits!$A$5:$A$204,0)),INDEX(Produits!$F$5:$F$204,MATCH($B751,Produits!$A$5:$A$204,0))),""))</f>
        <v/>
      </c>
      <c r="G751" s="21" t="str">
        <f aca="false">IF(OR($F751="",$E751=""),"",$E751*$F751)</f>
        <v/>
      </c>
      <c r="H751" s="21" t="str">
        <f aca="false">IF(AND($D751="Sortie",$B751&lt;&gt;"",$E751&lt;&gt;""),IFERROR($E751*INDEX(Produits!$E$5:$E$204,MATCH($B751,Produits!$A$5:$A$204,0)),""),"")</f>
        <v/>
      </c>
      <c r="I751" s="23"/>
    </row>
    <row r="752" customFormat="false" ht="15" hidden="false" customHeight="false" outlineLevel="0" collapsed="false">
      <c r="A752" s="27"/>
      <c r="B752" s="23"/>
      <c r="C752" s="26" t="str">
        <f aca="false">IF($B752="","",IFERROR(INDEX(Produits!$B$5:$B$204,MATCH($B752,Produits!$A$5:$A$204,0)),"Code inconnu"))</f>
        <v/>
      </c>
      <c r="D752" s="23"/>
      <c r="E752" s="24"/>
      <c r="F752" s="21" t="str">
        <f aca="false">IF(OR($B752="",$D752=""),"",IFERROR(IF($D752="Entrée",INDEX(Produits!$E$5:$E$204,MATCH($B752,Produits!$A$5:$A$204,0)),INDEX(Produits!$F$5:$F$204,MATCH($B752,Produits!$A$5:$A$204,0))),""))</f>
        <v/>
      </c>
      <c r="G752" s="21" t="str">
        <f aca="false">IF(OR($F752="",$E752=""),"",$E752*$F752)</f>
        <v/>
      </c>
      <c r="H752" s="21" t="str">
        <f aca="false">IF(AND($D752="Sortie",$B752&lt;&gt;"",$E752&lt;&gt;""),IFERROR($E752*INDEX(Produits!$E$5:$E$204,MATCH($B752,Produits!$A$5:$A$204,0)),""),"")</f>
        <v/>
      </c>
      <c r="I752" s="23"/>
    </row>
    <row r="753" customFormat="false" ht="15" hidden="false" customHeight="false" outlineLevel="0" collapsed="false">
      <c r="A753" s="27"/>
      <c r="B753" s="23"/>
      <c r="C753" s="26" t="str">
        <f aca="false">IF($B753="","",IFERROR(INDEX(Produits!$B$5:$B$204,MATCH($B753,Produits!$A$5:$A$204,0)),"Code inconnu"))</f>
        <v/>
      </c>
      <c r="D753" s="23"/>
      <c r="E753" s="24"/>
      <c r="F753" s="21" t="str">
        <f aca="false">IF(OR($B753="",$D753=""),"",IFERROR(IF($D753="Entrée",INDEX(Produits!$E$5:$E$204,MATCH($B753,Produits!$A$5:$A$204,0)),INDEX(Produits!$F$5:$F$204,MATCH($B753,Produits!$A$5:$A$204,0))),""))</f>
        <v/>
      </c>
      <c r="G753" s="21" t="str">
        <f aca="false">IF(OR($F753="",$E753=""),"",$E753*$F753)</f>
        <v/>
      </c>
      <c r="H753" s="21" t="str">
        <f aca="false">IF(AND($D753="Sortie",$B753&lt;&gt;"",$E753&lt;&gt;""),IFERROR($E753*INDEX(Produits!$E$5:$E$204,MATCH($B753,Produits!$A$5:$A$204,0)),""),"")</f>
        <v/>
      </c>
      <c r="I753" s="23"/>
    </row>
    <row r="754" customFormat="false" ht="15" hidden="false" customHeight="false" outlineLevel="0" collapsed="false">
      <c r="A754" s="27"/>
      <c r="B754" s="23"/>
      <c r="C754" s="26" t="str">
        <f aca="false">IF($B754="","",IFERROR(INDEX(Produits!$B$5:$B$204,MATCH($B754,Produits!$A$5:$A$204,0)),"Code inconnu"))</f>
        <v/>
      </c>
      <c r="D754" s="23"/>
      <c r="E754" s="24"/>
      <c r="F754" s="21" t="str">
        <f aca="false">IF(OR($B754="",$D754=""),"",IFERROR(IF($D754="Entrée",INDEX(Produits!$E$5:$E$204,MATCH($B754,Produits!$A$5:$A$204,0)),INDEX(Produits!$F$5:$F$204,MATCH($B754,Produits!$A$5:$A$204,0))),""))</f>
        <v/>
      </c>
      <c r="G754" s="21" t="str">
        <f aca="false">IF(OR($F754="",$E754=""),"",$E754*$F754)</f>
        <v/>
      </c>
      <c r="H754" s="21" t="str">
        <f aca="false">IF(AND($D754="Sortie",$B754&lt;&gt;"",$E754&lt;&gt;""),IFERROR($E754*INDEX(Produits!$E$5:$E$204,MATCH($B754,Produits!$A$5:$A$204,0)),""),"")</f>
        <v/>
      </c>
      <c r="I754" s="23"/>
    </row>
    <row r="755" customFormat="false" ht="15" hidden="false" customHeight="false" outlineLevel="0" collapsed="false">
      <c r="A755" s="27"/>
      <c r="B755" s="23"/>
      <c r="C755" s="26" t="str">
        <f aca="false">IF($B755="","",IFERROR(INDEX(Produits!$B$5:$B$204,MATCH($B755,Produits!$A$5:$A$204,0)),"Code inconnu"))</f>
        <v/>
      </c>
      <c r="D755" s="23"/>
      <c r="E755" s="24"/>
      <c r="F755" s="21" t="str">
        <f aca="false">IF(OR($B755="",$D755=""),"",IFERROR(IF($D755="Entrée",INDEX(Produits!$E$5:$E$204,MATCH($B755,Produits!$A$5:$A$204,0)),INDEX(Produits!$F$5:$F$204,MATCH($B755,Produits!$A$5:$A$204,0))),""))</f>
        <v/>
      </c>
      <c r="G755" s="21" t="str">
        <f aca="false">IF(OR($F755="",$E755=""),"",$E755*$F755)</f>
        <v/>
      </c>
      <c r="H755" s="21" t="str">
        <f aca="false">IF(AND($D755="Sortie",$B755&lt;&gt;"",$E755&lt;&gt;""),IFERROR($E755*INDEX(Produits!$E$5:$E$204,MATCH($B755,Produits!$A$5:$A$204,0)),""),"")</f>
        <v/>
      </c>
      <c r="I755" s="23"/>
    </row>
    <row r="756" customFormat="false" ht="15" hidden="false" customHeight="false" outlineLevel="0" collapsed="false">
      <c r="A756" s="27"/>
      <c r="B756" s="23"/>
      <c r="C756" s="26" t="str">
        <f aca="false">IF($B756="","",IFERROR(INDEX(Produits!$B$5:$B$204,MATCH($B756,Produits!$A$5:$A$204,0)),"Code inconnu"))</f>
        <v/>
      </c>
      <c r="D756" s="23"/>
      <c r="E756" s="24"/>
      <c r="F756" s="21" t="str">
        <f aca="false">IF(OR($B756="",$D756=""),"",IFERROR(IF($D756="Entrée",INDEX(Produits!$E$5:$E$204,MATCH($B756,Produits!$A$5:$A$204,0)),INDEX(Produits!$F$5:$F$204,MATCH($B756,Produits!$A$5:$A$204,0))),""))</f>
        <v/>
      </c>
      <c r="G756" s="21" t="str">
        <f aca="false">IF(OR($F756="",$E756=""),"",$E756*$F756)</f>
        <v/>
      </c>
      <c r="H756" s="21" t="str">
        <f aca="false">IF(AND($D756="Sortie",$B756&lt;&gt;"",$E756&lt;&gt;""),IFERROR($E756*INDEX(Produits!$E$5:$E$204,MATCH($B756,Produits!$A$5:$A$204,0)),""),"")</f>
        <v/>
      </c>
      <c r="I756" s="23"/>
    </row>
    <row r="757" customFormat="false" ht="15" hidden="false" customHeight="false" outlineLevel="0" collapsed="false">
      <c r="A757" s="27"/>
      <c r="B757" s="23"/>
      <c r="C757" s="26" t="str">
        <f aca="false">IF($B757="","",IFERROR(INDEX(Produits!$B$5:$B$204,MATCH($B757,Produits!$A$5:$A$204,0)),"Code inconnu"))</f>
        <v/>
      </c>
      <c r="D757" s="23"/>
      <c r="E757" s="24"/>
      <c r="F757" s="21" t="str">
        <f aca="false">IF(OR($B757="",$D757=""),"",IFERROR(IF($D757="Entrée",INDEX(Produits!$E$5:$E$204,MATCH($B757,Produits!$A$5:$A$204,0)),INDEX(Produits!$F$5:$F$204,MATCH($B757,Produits!$A$5:$A$204,0))),""))</f>
        <v/>
      </c>
      <c r="G757" s="21" t="str">
        <f aca="false">IF(OR($F757="",$E757=""),"",$E757*$F757)</f>
        <v/>
      </c>
      <c r="H757" s="21" t="str">
        <f aca="false">IF(AND($D757="Sortie",$B757&lt;&gt;"",$E757&lt;&gt;""),IFERROR($E757*INDEX(Produits!$E$5:$E$204,MATCH($B757,Produits!$A$5:$A$204,0)),""),"")</f>
        <v/>
      </c>
      <c r="I757" s="23"/>
    </row>
    <row r="758" customFormat="false" ht="15" hidden="false" customHeight="false" outlineLevel="0" collapsed="false">
      <c r="A758" s="27"/>
      <c r="B758" s="23"/>
      <c r="C758" s="26" t="str">
        <f aca="false">IF($B758="","",IFERROR(INDEX(Produits!$B$5:$B$204,MATCH($B758,Produits!$A$5:$A$204,0)),"Code inconnu"))</f>
        <v/>
      </c>
      <c r="D758" s="23"/>
      <c r="E758" s="24"/>
      <c r="F758" s="21" t="str">
        <f aca="false">IF(OR($B758="",$D758=""),"",IFERROR(IF($D758="Entrée",INDEX(Produits!$E$5:$E$204,MATCH($B758,Produits!$A$5:$A$204,0)),INDEX(Produits!$F$5:$F$204,MATCH($B758,Produits!$A$5:$A$204,0))),""))</f>
        <v/>
      </c>
      <c r="G758" s="21" t="str">
        <f aca="false">IF(OR($F758="",$E758=""),"",$E758*$F758)</f>
        <v/>
      </c>
      <c r="H758" s="21" t="str">
        <f aca="false">IF(AND($D758="Sortie",$B758&lt;&gt;"",$E758&lt;&gt;""),IFERROR($E758*INDEX(Produits!$E$5:$E$204,MATCH($B758,Produits!$A$5:$A$204,0)),""),"")</f>
        <v/>
      </c>
      <c r="I758" s="23"/>
    </row>
    <row r="759" customFormat="false" ht="15" hidden="false" customHeight="false" outlineLevel="0" collapsed="false">
      <c r="A759" s="27"/>
      <c r="B759" s="23"/>
      <c r="C759" s="26" t="str">
        <f aca="false">IF($B759="","",IFERROR(INDEX(Produits!$B$5:$B$204,MATCH($B759,Produits!$A$5:$A$204,0)),"Code inconnu"))</f>
        <v/>
      </c>
      <c r="D759" s="23"/>
      <c r="E759" s="24"/>
      <c r="F759" s="21" t="str">
        <f aca="false">IF(OR($B759="",$D759=""),"",IFERROR(IF($D759="Entrée",INDEX(Produits!$E$5:$E$204,MATCH($B759,Produits!$A$5:$A$204,0)),INDEX(Produits!$F$5:$F$204,MATCH($B759,Produits!$A$5:$A$204,0))),""))</f>
        <v/>
      </c>
      <c r="G759" s="21" t="str">
        <f aca="false">IF(OR($F759="",$E759=""),"",$E759*$F759)</f>
        <v/>
      </c>
      <c r="H759" s="21" t="str">
        <f aca="false">IF(AND($D759="Sortie",$B759&lt;&gt;"",$E759&lt;&gt;""),IFERROR($E759*INDEX(Produits!$E$5:$E$204,MATCH($B759,Produits!$A$5:$A$204,0)),""),"")</f>
        <v/>
      </c>
      <c r="I759" s="23"/>
    </row>
    <row r="760" customFormat="false" ht="15" hidden="false" customHeight="false" outlineLevel="0" collapsed="false">
      <c r="A760" s="27"/>
      <c r="B760" s="23"/>
      <c r="C760" s="26" t="str">
        <f aca="false">IF($B760="","",IFERROR(INDEX(Produits!$B$5:$B$204,MATCH($B760,Produits!$A$5:$A$204,0)),"Code inconnu"))</f>
        <v/>
      </c>
      <c r="D760" s="23"/>
      <c r="E760" s="24"/>
      <c r="F760" s="21" t="str">
        <f aca="false">IF(OR($B760="",$D760=""),"",IFERROR(IF($D760="Entrée",INDEX(Produits!$E$5:$E$204,MATCH($B760,Produits!$A$5:$A$204,0)),INDEX(Produits!$F$5:$F$204,MATCH($B760,Produits!$A$5:$A$204,0))),""))</f>
        <v/>
      </c>
      <c r="G760" s="21" t="str">
        <f aca="false">IF(OR($F760="",$E760=""),"",$E760*$F760)</f>
        <v/>
      </c>
      <c r="H760" s="21" t="str">
        <f aca="false">IF(AND($D760="Sortie",$B760&lt;&gt;"",$E760&lt;&gt;""),IFERROR($E760*INDEX(Produits!$E$5:$E$204,MATCH($B760,Produits!$A$5:$A$204,0)),""),"")</f>
        <v/>
      </c>
      <c r="I760" s="23"/>
    </row>
    <row r="761" customFormat="false" ht="15" hidden="false" customHeight="false" outlineLevel="0" collapsed="false">
      <c r="A761" s="27"/>
      <c r="B761" s="23"/>
      <c r="C761" s="26" t="str">
        <f aca="false">IF($B761="","",IFERROR(INDEX(Produits!$B$5:$B$204,MATCH($B761,Produits!$A$5:$A$204,0)),"Code inconnu"))</f>
        <v/>
      </c>
      <c r="D761" s="23"/>
      <c r="E761" s="24"/>
      <c r="F761" s="21" t="str">
        <f aca="false">IF(OR($B761="",$D761=""),"",IFERROR(IF($D761="Entrée",INDEX(Produits!$E$5:$E$204,MATCH($B761,Produits!$A$5:$A$204,0)),INDEX(Produits!$F$5:$F$204,MATCH($B761,Produits!$A$5:$A$204,0))),""))</f>
        <v/>
      </c>
      <c r="G761" s="21" t="str">
        <f aca="false">IF(OR($F761="",$E761=""),"",$E761*$F761)</f>
        <v/>
      </c>
      <c r="H761" s="21" t="str">
        <f aca="false">IF(AND($D761="Sortie",$B761&lt;&gt;"",$E761&lt;&gt;""),IFERROR($E761*INDEX(Produits!$E$5:$E$204,MATCH($B761,Produits!$A$5:$A$204,0)),""),"")</f>
        <v/>
      </c>
      <c r="I761" s="23"/>
    </row>
    <row r="762" customFormat="false" ht="15" hidden="false" customHeight="false" outlineLevel="0" collapsed="false">
      <c r="A762" s="27"/>
      <c r="B762" s="23"/>
      <c r="C762" s="26" t="str">
        <f aca="false">IF($B762="","",IFERROR(INDEX(Produits!$B$5:$B$204,MATCH($B762,Produits!$A$5:$A$204,0)),"Code inconnu"))</f>
        <v/>
      </c>
      <c r="D762" s="23"/>
      <c r="E762" s="24"/>
      <c r="F762" s="21" t="str">
        <f aca="false">IF(OR($B762="",$D762=""),"",IFERROR(IF($D762="Entrée",INDEX(Produits!$E$5:$E$204,MATCH($B762,Produits!$A$5:$A$204,0)),INDEX(Produits!$F$5:$F$204,MATCH($B762,Produits!$A$5:$A$204,0))),""))</f>
        <v/>
      </c>
      <c r="G762" s="21" t="str">
        <f aca="false">IF(OR($F762="",$E762=""),"",$E762*$F762)</f>
        <v/>
      </c>
      <c r="H762" s="21" t="str">
        <f aca="false">IF(AND($D762="Sortie",$B762&lt;&gt;"",$E762&lt;&gt;""),IFERROR($E762*INDEX(Produits!$E$5:$E$204,MATCH($B762,Produits!$A$5:$A$204,0)),""),"")</f>
        <v/>
      </c>
      <c r="I762" s="23"/>
    </row>
    <row r="763" customFormat="false" ht="15" hidden="false" customHeight="false" outlineLevel="0" collapsed="false">
      <c r="A763" s="27"/>
      <c r="B763" s="23"/>
      <c r="C763" s="26" t="str">
        <f aca="false">IF($B763="","",IFERROR(INDEX(Produits!$B$5:$B$204,MATCH($B763,Produits!$A$5:$A$204,0)),"Code inconnu"))</f>
        <v/>
      </c>
      <c r="D763" s="23"/>
      <c r="E763" s="24"/>
      <c r="F763" s="21" t="str">
        <f aca="false">IF(OR($B763="",$D763=""),"",IFERROR(IF($D763="Entrée",INDEX(Produits!$E$5:$E$204,MATCH($B763,Produits!$A$5:$A$204,0)),INDEX(Produits!$F$5:$F$204,MATCH($B763,Produits!$A$5:$A$204,0))),""))</f>
        <v/>
      </c>
      <c r="G763" s="21" t="str">
        <f aca="false">IF(OR($F763="",$E763=""),"",$E763*$F763)</f>
        <v/>
      </c>
      <c r="H763" s="21" t="str">
        <f aca="false">IF(AND($D763="Sortie",$B763&lt;&gt;"",$E763&lt;&gt;""),IFERROR($E763*INDEX(Produits!$E$5:$E$204,MATCH($B763,Produits!$A$5:$A$204,0)),""),"")</f>
        <v/>
      </c>
      <c r="I763" s="23"/>
    </row>
    <row r="764" customFormat="false" ht="15" hidden="false" customHeight="false" outlineLevel="0" collapsed="false">
      <c r="A764" s="27"/>
      <c r="B764" s="23"/>
      <c r="C764" s="26" t="str">
        <f aca="false">IF($B764="","",IFERROR(INDEX(Produits!$B$5:$B$204,MATCH($B764,Produits!$A$5:$A$204,0)),"Code inconnu"))</f>
        <v/>
      </c>
      <c r="D764" s="23"/>
      <c r="E764" s="24"/>
      <c r="F764" s="21" t="str">
        <f aca="false">IF(OR($B764="",$D764=""),"",IFERROR(IF($D764="Entrée",INDEX(Produits!$E$5:$E$204,MATCH($B764,Produits!$A$5:$A$204,0)),INDEX(Produits!$F$5:$F$204,MATCH($B764,Produits!$A$5:$A$204,0))),""))</f>
        <v/>
      </c>
      <c r="G764" s="21" t="str">
        <f aca="false">IF(OR($F764="",$E764=""),"",$E764*$F764)</f>
        <v/>
      </c>
      <c r="H764" s="21" t="str">
        <f aca="false">IF(AND($D764="Sortie",$B764&lt;&gt;"",$E764&lt;&gt;""),IFERROR($E764*INDEX(Produits!$E$5:$E$204,MATCH($B764,Produits!$A$5:$A$204,0)),""),"")</f>
        <v/>
      </c>
      <c r="I764" s="23"/>
    </row>
    <row r="765" customFormat="false" ht="15" hidden="false" customHeight="false" outlineLevel="0" collapsed="false">
      <c r="A765" s="27"/>
      <c r="B765" s="23"/>
      <c r="C765" s="26" t="str">
        <f aca="false">IF($B765="","",IFERROR(INDEX(Produits!$B$5:$B$204,MATCH($B765,Produits!$A$5:$A$204,0)),"Code inconnu"))</f>
        <v/>
      </c>
      <c r="D765" s="23"/>
      <c r="E765" s="24"/>
      <c r="F765" s="21" t="str">
        <f aca="false">IF(OR($B765="",$D765=""),"",IFERROR(IF($D765="Entrée",INDEX(Produits!$E$5:$E$204,MATCH($B765,Produits!$A$5:$A$204,0)),INDEX(Produits!$F$5:$F$204,MATCH($B765,Produits!$A$5:$A$204,0))),""))</f>
        <v/>
      </c>
      <c r="G765" s="21" t="str">
        <f aca="false">IF(OR($F765="",$E765=""),"",$E765*$F765)</f>
        <v/>
      </c>
      <c r="H765" s="21" t="str">
        <f aca="false">IF(AND($D765="Sortie",$B765&lt;&gt;"",$E765&lt;&gt;""),IFERROR($E765*INDEX(Produits!$E$5:$E$204,MATCH($B765,Produits!$A$5:$A$204,0)),""),"")</f>
        <v/>
      </c>
      <c r="I765" s="23"/>
    </row>
    <row r="766" customFormat="false" ht="15" hidden="false" customHeight="false" outlineLevel="0" collapsed="false">
      <c r="A766" s="27"/>
      <c r="B766" s="23"/>
      <c r="C766" s="26" t="str">
        <f aca="false">IF($B766="","",IFERROR(INDEX(Produits!$B$5:$B$204,MATCH($B766,Produits!$A$5:$A$204,0)),"Code inconnu"))</f>
        <v/>
      </c>
      <c r="D766" s="23"/>
      <c r="E766" s="24"/>
      <c r="F766" s="21" t="str">
        <f aca="false">IF(OR($B766="",$D766=""),"",IFERROR(IF($D766="Entrée",INDEX(Produits!$E$5:$E$204,MATCH($B766,Produits!$A$5:$A$204,0)),INDEX(Produits!$F$5:$F$204,MATCH($B766,Produits!$A$5:$A$204,0))),""))</f>
        <v/>
      </c>
      <c r="G766" s="21" t="str">
        <f aca="false">IF(OR($F766="",$E766=""),"",$E766*$F766)</f>
        <v/>
      </c>
      <c r="H766" s="21" t="str">
        <f aca="false">IF(AND($D766="Sortie",$B766&lt;&gt;"",$E766&lt;&gt;""),IFERROR($E766*INDEX(Produits!$E$5:$E$204,MATCH($B766,Produits!$A$5:$A$204,0)),""),"")</f>
        <v/>
      </c>
      <c r="I766" s="23"/>
    </row>
    <row r="767" customFormat="false" ht="15" hidden="false" customHeight="false" outlineLevel="0" collapsed="false">
      <c r="A767" s="27"/>
      <c r="B767" s="23"/>
      <c r="C767" s="26" t="str">
        <f aca="false">IF($B767="","",IFERROR(INDEX(Produits!$B$5:$B$204,MATCH($B767,Produits!$A$5:$A$204,0)),"Code inconnu"))</f>
        <v/>
      </c>
      <c r="D767" s="23"/>
      <c r="E767" s="24"/>
      <c r="F767" s="21" t="str">
        <f aca="false">IF(OR($B767="",$D767=""),"",IFERROR(IF($D767="Entrée",INDEX(Produits!$E$5:$E$204,MATCH($B767,Produits!$A$5:$A$204,0)),INDEX(Produits!$F$5:$F$204,MATCH($B767,Produits!$A$5:$A$204,0))),""))</f>
        <v/>
      </c>
      <c r="G767" s="21" t="str">
        <f aca="false">IF(OR($F767="",$E767=""),"",$E767*$F767)</f>
        <v/>
      </c>
      <c r="H767" s="21" t="str">
        <f aca="false">IF(AND($D767="Sortie",$B767&lt;&gt;"",$E767&lt;&gt;""),IFERROR($E767*INDEX(Produits!$E$5:$E$204,MATCH($B767,Produits!$A$5:$A$204,0)),""),"")</f>
        <v/>
      </c>
      <c r="I767" s="23"/>
    </row>
    <row r="768" customFormat="false" ht="15" hidden="false" customHeight="false" outlineLevel="0" collapsed="false">
      <c r="A768" s="27"/>
      <c r="B768" s="23"/>
      <c r="C768" s="26" t="str">
        <f aca="false">IF($B768="","",IFERROR(INDEX(Produits!$B$5:$B$204,MATCH($B768,Produits!$A$5:$A$204,0)),"Code inconnu"))</f>
        <v/>
      </c>
      <c r="D768" s="23"/>
      <c r="E768" s="24"/>
      <c r="F768" s="21" t="str">
        <f aca="false">IF(OR($B768="",$D768=""),"",IFERROR(IF($D768="Entrée",INDEX(Produits!$E$5:$E$204,MATCH($B768,Produits!$A$5:$A$204,0)),INDEX(Produits!$F$5:$F$204,MATCH($B768,Produits!$A$5:$A$204,0))),""))</f>
        <v/>
      </c>
      <c r="G768" s="21" t="str">
        <f aca="false">IF(OR($F768="",$E768=""),"",$E768*$F768)</f>
        <v/>
      </c>
      <c r="H768" s="21" t="str">
        <f aca="false">IF(AND($D768="Sortie",$B768&lt;&gt;"",$E768&lt;&gt;""),IFERROR($E768*INDEX(Produits!$E$5:$E$204,MATCH($B768,Produits!$A$5:$A$204,0)),""),"")</f>
        <v/>
      </c>
      <c r="I768" s="23"/>
    </row>
    <row r="769" customFormat="false" ht="15" hidden="false" customHeight="false" outlineLevel="0" collapsed="false">
      <c r="A769" s="27"/>
      <c r="B769" s="23"/>
      <c r="C769" s="26" t="str">
        <f aca="false">IF($B769="","",IFERROR(INDEX(Produits!$B$5:$B$204,MATCH($B769,Produits!$A$5:$A$204,0)),"Code inconnu"))</f>
        <v/>
      </c>
      <c r="D769" s="23"/>
      <c r="E769" s="24"/>
      <c r="F769" s="21" t="str">
        <f aca="false">IF(OR($B769="",$D769=""),"",IFERROR(IF($D769="Entrée",INDEX(Produits!$E$5:$E$204,MATCH($B769,Produits!$A$5:$A$204,0)),INDEX(Produits!$F$5:$F$204,MATCH($B769,Produits!$A$5:$A$204,0))),""))</f>
        <v/>
      </c>
      <c r="G769" s="21" t="str">
        <f aca="false">IF(OR($F769="",$E769=""),"",$E769*$F769)</f>
        <v/>
      </c>
      <c r="H769" s="21" t="str">
        <f aca="false">IF(AND($D769="Sortie",$B769&lt;&gt;"",$E769&lt;&gt;""),IFERROR($E769*INDEX(Produits!$E$5:$E$204,MATCH($B769,Produits!$A$5:$A$204,0)),""),"")</f>
        <v/>
      </c>
      <c r="I769" s="23"/>
    </row>
    <row r="770" customFormat="false" ht="15" hidden="false" customHeight="false" outlineLevel="0" collapsed="false">
      <c r="A770" s="27"/>
      <c r="B770" s="23"/>
      <c r="C770" s="26" t="str">
        <f aca="false">IF($B770="","",IFERROR(INDEX(Produits!$B$5:$B$204,MATCH($B770,Produits!$A$5:$A$204,0)),"Code inconnu"))</f>
        <v/>
      </c>
      <c r="D770" s="23"/>
      <c r="E770" s="24"/>
      <c r="F770" s="21" t="str">
        <f aca="false">IF(OR($B770="",$D770=""),"",IFERROR(IF($D770="Entrée",INDEX(Produits!$E$5:$E$204,MATCH($B770,Produits!$A$5:$A$204,0)),INDEX(Produits!$F$5:$F$204,MATCH($B770,Produits!$A$5:$A$204,0))),""))</f>
        <v/>
      </c>
      <c r="G770" s="21" t="str">
        <f aca="false">IF(OR($F770="",$E770=""),"",$E770*$F770)</f>
        <v/>
      </c>
      <c r="H770" s="21" t="str">
        <f aca="false">IF(AND($D770="Sortie",$B770&lt;&gt;"",$E770&lt;&gt;""),IFERROR($E770*INDEX(Produits!$E$5:$E$204,MATCH($B770,Produits!$A$5:$A$204,0)),""),"")</f>
        <v/>
      </c>
      <c r="I770" s="23"/>
    </row>
    <row r="771" customFormat="false" ht="15" hidden="false" customHeight="false" outlineLevel="0" collapsed="false">
      <c r="A771" s="27"/>
      <c r="B771" s="23"/>
      <c r="C771" s="26" t="str">
        <f aca="false">IF($B771="","",IFERROR(INDEX(Produits!$B$5:$B$204,MATCH($B771,Produits!$A$5:$A$204,0)),"Code inconnu"))</f>
        <v/>
      </c>
      <c r="D771" s="23"/>
      <c r="E771" s="24"/>
      <c r="F771" s="21" t="str">
        <f aca="false">IF(OR($B771="",$D771=""),"",IFERROR(IF($D771="Entrée",INDEX(Produits!$E$5:$E$204,MATCH($B771,Produits!$A$5:$A$204,0)),INDEX(Produits!$F$5:$F$204,MATCH($B771,Produits!$A$5:$A$204,0))),""))</f>
        <v/>
      </c>
      <c r="G771" s="21" t="str">
        <f aca="false">IF(OR($F771="",$E771=""),"",$E771*$F771)</f>
        <v/>
      </c>
      <c r="H771" s="21" t="str">
        <f aca="false">IF(AND($D771="Sortie",$B771&lt;&gt;"",$E771&lt;&gt;""),IFERROR($E771*INDEX(Produits!$E$5:$E$204,MATCH($B771,Produits!$A$5:$A$204,0)),""),"")</f>
        <v/>
      </c>
      <c r="I771" s="23"/>
    </row>
    <row r="772" customFormat="false" ht="15" hidden="false" customHeight="false" outlineLevel="0" collapsed="false">
      <c r="A772" s="27"/>
      <c r="B772" s="23"/>
      <c r="C772" s="26" t="str">
        <f aca="false">IF($B772="","",IFERROR(INDEX(Produits!$B$5:$B$204,MATCH($B772,Produits!$A$5:$A$204,0)),"Code inconnu"))</f>
        <v/>
      </c>
      <c r="D772" s="23"/>
      <c r="E772" s="24"/>
      <c r="F772" s="21" t="str">
        <f aca="false">IF(OR($B772="",$D772=""),"",IFERROR(IF($D772="Entrée",INDEX(Produits!$E$5:$E$204,MATCH($B772,Produits!$A$5:$A$204,0)),INDEX(Produits!$F$5:$F$204,MATCH($B772,Produits!$A$5:$A$204,0))),""))</f>
        <v/>
      </c>
      <c r="G772" s="21" t="str">
        <f aca="false">IF(OR($F772="",$E772=""),"",$E772*$F772)</f>
        <v/>
      </c>
      <c r="H772" s="21" t="str">
        <f aca="false">IF(AND($D772="Sortie",$B772&lt;&gt;"",$E772&lt;&gt;""),IFERROR($E772*INDEX(Produits!$E$5:$E$204,MATCH($B772,Produits!$A$5:$A$204,0)),""),"")</f>
        <v/>
      </c>
      <c r="I772" s="23"/>
    </row>
    <row r="773" customFormat="false" ht="15" hidden="false" customHeight="false" outlineLevel="0" collapsed="false">
      <c r="A773" s="27"/>
      <c r="B773" s="23"/>
      <c r="C773" s="26" t="str">
        <f aca="false">IF($B773="","",IFERROR(INDEX(Produits!$B$5:$B$204,MATCH($B773,Produits!$A$5:$A$204,0)),"Code inconnu"))</f>
        <v/>
      </c>
      <c r="D773" s="23"/>
      <c r="E773" s="24"/>
      <c r="F773" s="21" t="str">
        <f aca="false">IF(OR($B773="",$D773=""),"",IFERROR(IF($D773="Entrée",INDEX(Produits!$E$5:$E$204,MATCH($B773,Produits!$A$5:$A$204,0)),INDEX(Produits!$F$5:$F$204,MATCH($B773,Produits!$A$5:$A$204,0))),""))</f>
        <v/>
      </c>
      <c r="G773" s="21" t="str">
        <f aca="false">IF(OR($F773="",$E773=""),"",$E773*$F773)</f>
        <v/>
      </c>
      <c r="H773" s="21" t="str">
        <f aca="false">IF(AND($D773="Sortie",$B773&lt;&gt;"",$E773&lt;&gt;""),IFERROR($E773*INDEX(Produits!$E$5:$E$204,MATCH($B773,Produits!$A$5:$A$204,0)),""),"")</f>
        <v/>
      </c>
      <c r="I773" s="23"/>
    </row>
    <row r="774" customFormat="false" ht="15" hidden="false" customHeight="false" outlineLevel="0" collapsed="false">
      <c r="A774" s="27"/>
      <c r="B774" s="23"/>
      <c r="C774" s="26" t="str">
        <f aca="false">IF($B774="","",IFERROR(INDEX(Produits!$B$5:$B$204,MATCH($B774,Produits!$A$5:$A$204,0)),"Code inconnu"))</f>
        <v/>
      </c>
      <c r="D774" s="23"/>
      <c r="E774" s="24"/>
      <c r="F774" s="21" t="str">
        <f aca="false">IF(OR($B774="",$D774=""),"",IFERROR(IF($D774="Entrée",INDEX(Produits!$E$5:$E$204,MATCH($B774,Produits!$A$5:$A$204,0)),INDEX(Produits!$F$5:$F$204,MATCH($B774,Produits!$A$5:$A$204,0))),""))</f>
        <v/>
      </c>
      <c r="G774" s="21" t="str">
        <f aca="false">IF(OR($F774="",$E774=""),"",$E774*$F774)</f>
        <v/>
      </c>
      <c r="H774" s="21" t="str">
        <f aca="false">IF(AND($D774="Sortie",$B774&lt;&gt;"",$E774&lt;&gt;""),IFERROR($E774*INDEX(Produits!$E$5:$E$204,MATCH($B774,Produits!$A$5:$A$204,0)),""),"")</f>
        <v/>
      </c>
      <c r="I774" s="23"/>
    </row>
    <row r="775" customFormat="false" ht="15" hidden="false" customHeight="false" outlineLevel="0" collapsed="false">
      <c r="A775" s="27"/>
      <c r="B775" s="23"/>
      <c r="C775" s="26" t="str">
        <f aca="false">IF($B775="","",IFERROR(INDEX(Produits!$B$5:$B$204,MATCH($B775,Produits!$A$5:$A$204,0)),"Code inconnu"))</f>
        <v/>
      </c>
      <c r="D775" s="23"/>
      <c r="E775" s="24"/>
      <c r="F775" s="21" t="str">
        <f aca="false">IF(OR($B775="",$D775=""),"",IFERROR(IF($D775="Entrée",INDEX(Produits!$E$5:$E$204,MATCH($B775,Produits!$A$5:$A$204,0)),INDEX(Produits!$F$5:$F$204,MATCH($B775,Produits!$A$5:$A$204,0))),""))</f>
        <v/>
      </c>
      <c r="G775" s="21" t="str">
        <f aca="false">IF(OR($F775="",$E775=""),"",$E775*$F775)</f>
        <v/>
      </c>
      <c r="H775" s="21" t="str">
        <f aca="false">IF(AND($D775="Sortie",$B775&lt;&gt;"",$E775&lt;&gt;""),IFERROR($E775*INDEX(Produits!$E$5:$E$204,MATCH($B775,Produits!$A$5:$A$204,0)),""),"")</f>
        <v/>
      </c>
      <c r="I775" s="23"/>
    </row>
    <row r="776" customFormat="false" ht="15" hidden="false" customHeight="false" outlineLevel="0" collapsed="false">
      <c r="A776" s="27"/>
      <c r="B776" s="23"/>
      <c r="C776" s="26" t="str">
        <f aca="false">IF($B776="","",IFERROR(INDEX(Produits!$B$5:$B$204,MATCH($B776,Produits!$A$5:$A$204,0)),"Code inconnu"))</f>
        <v/>
      </c>
      <c r="D776" s="23"/>
      <c r="E776" s="24"/>
      <c r="F776" s="21" t="str">
        <f aca="false">IF(OR($B776="",$D776=""),"",IFERROR(IF($D776="Entrée",INDEX(Produits!$E$5:$E$204,MATCH($B776,Produits!$A$5:$A$204,0)),INDEX(Produits!$F$5:$F$204,MATCH($B776,Produits!$A$5:$A$204,0))),""))</f>
        <v/>
      </c>
      <c r="G776" s="21" t="str">
        <f aca="false">IF(OR($F776="",$E776=""),"",$E776*$F776)</f>
        <v/>
      </c>
      <c r="H776" s="21" t="str">
        <f aca="false">IF(AND($D776="Sortie",$B776&lt;&gt;"",$E776&lt;&gt;""),IFERROR($E776*INDEX(Produits!$E$5:$E$204,MATCH($B776,Produits!$A$5:$A$204,0)),""),"")</f>
        <v/>
      </c>
      <c r="I776" s="23"/>
    </row>
    <row r="777" customFormat="false" ht="15" hidden="false" customHeight="false" outlineLevel="0" collapsed="false">
      <c r="A777" s="27"/>
      <c r="B777" s="23"/>
      <c r="C777" s="26" t="str">
        <f aca="false">IF($B777="","",IFERROR(INDEX(Produits!$B$5:$B$204,MATCH($B777,Produits!$A$5:$A$204,0)),"Code inconnu"))</f>
        <v/>
      </c>
      <c r="D777" s="23"/>
      <c r="E777" s="24"/>
      <c r="F777" s="21" t="str">
        <f aca="false">IF(OR($B777="",$D777=""),"",IFERROR(IF($D777="Entrée",INDEX(Produits!$E$5:$E$204,MATCH($B777,Produits!$A$5:$A$204,0)),INDEX(Produits!$F$5:$F$204,MATCH($B777,Produits!$A$5:$A$204,0))),""))</f>
        <v/>
      </c>
      <c r="G777" s="21" t="str">
        <f aca="false">IF(OR($F777="",$E777=""),"",$E777*$F777)</f>
        <v/>
      </c>
      <c r="H777" s="21" t="str">
        <f aca="false">IF(AND($D777="Sortie",$B777&lt;&gt;"",$E777&lt;&gt;""),IFERROR($E777*INDEX(Produits!$E$5:$E$204,MATCH($B777,Produits!$A$5:$A$204,0)),""),"")</f>
        <v/>
      </c>
      <c r="I777" s="23"/>
    </row>
    <row r="778" customFormat="false" ht="15" hidden="false" customHeight="false" outlineLevel="0" collapsed="false">
      <c r="A778" s="27"/>
      <c r="B778" s="23"/>
      <c r="C778" s="26" t="str">
        <f aca="false">IF($B778="","",IFERROR(INDEX(Produits!$B$5:$B$204,MATCH($B778,Produits!$A$5:$A$204,0)),"Code inconnu"))</f>
        <v/>
      </c>
      <c r="D778" s="23"/>
      <c r="E778" s="24"/>
      <c r="F778" s="21" t="str">
        <f aca="false">IF(OR($B778="",$D778=""),"",IFERROR(IF($D778="Entrée",INDEX(Produits!$E$5:$E$204,MATCH($B778,Produits!$A$5:$A$204,0)),INDEX(Produits!$F$5:$F$204,MATCH($B778,Produits!$A$5:$A$204,0))),""))</f>
        <v/>
      </c>
      <c r="G778" s="21" t="str">
        <f aca="false">IF(OR($F778="",$E778=""),"",$E778*$F778)</f>
        <v/>
      </c>
      <c r="H778" s="21" t="str">
        <f aca="false">IF(AND($D778="Sortie",$B778&lt;&gt;"",$E778&lt;&gt;""),IFERROR($E778*INDEX(Produits!$E$5:$E$204,MATCH($B778,Produits!$A$5:$A$204,0)),""),"")</f>
        <v/>
      </c>
      <c r="I778" s="23"/>
    </row>
    <row r="779" customFormat="false" ht="15" hidden="false" customHeight="false" outlineLevel="0" collapsed="false">
      <c r="A779" s="27"/>
      <c r="B779" s="23"/>
      <c r="C779" s="26" t="str">
        <f aca="false">IF($B779="","",IFERROR(INDEX(Produits!$B$5:$B$204,MATCH($B779,Produits!$A$5:$A$204,0)),"Code inconnu"))</f>
        <v/>
      </c>
      <c r="D779" s="23"/>
      <c r="E779" s="24"/>
      <c r="F779" s="21" t="str">
        <f aca="false">IF(OR($B779="",$D779=""),"",IFERROR(IF($D779="Entrée",INDEX(Produits!$E$5:$E$204,MATCH($B779,Produits!$A$5:$A$204,0)),INDEX(Produits!$F$5:$F$204,MATCH($B779,Produits!$A$5:$A$204,0))),""))</f>
        <v/>
      </c>
      <c r="G779" s="21" t="str">
        <f aca="false">IF(OR($F779="",$E779=""),"",$E779*$F779)</f>
        <v/>
      </c>
      <c r="H779" s="21" t="str">
        <f aca="false">IF(AND($D779="Sortie",$B779&lt;&gt;"",$E779&lt;&gt;""),IFERROR($E779*INDEX(Produits!$E$5:$E$204,MATCH($B779,Produits!$A$5:$A$204,0)),""),"")</f>
        <v/>
      </c>
      <c r="I779" s="23"/>
    </row>
    <row r="780" customFormat="false" ht="15" hidden="false" customHeight="false" outlineLevel="0" collapsed="false">
      <c r="A780" s="27"/>
      <c r="B780" s="23"/>
      <c r="C780" s="26" t="str">
        <f aca="false">IF($B780="","",IFERROR(INDEX(Produits!$B$5:$B$204,MATCH($B780,Produits!$A$5:$A$204,0)),"Code inconnu"))</f>
        <v/>
      </c>
      <c r="D780" s="23"/>
      <c r="E780" s="24"/>
      <c r="F780" s="21" t="str">
        <f aca="false">IF(OR($B780="",$D780=""),"",IFERROR(IF($D780="Entrée",INDEX(Produits!$E$5:$E$204,MATCH($B780,Produits!$A$5:$A$204,0)),INDEX(Produits!$F$5:$F$204,MATCH($B780,Produits!$A$5:$A$204,0))),""))</f>
        <v/>
      </c>
      <c r="G780" s="21" t="str">
        <f aca="false">IF(OR($F780="",$E780=""),"",$E780*$F780)</f>
        <v/>
      </c>
      <c r="H780" s="21" t="str">
        <f aca="false">IF(AND($D780="Sortie",$B780&lt;&gt;"",$E780&lt;&gt;""),IFERROR($E780*INDEX(Produits!$E$5:$E$204,MATCH($B780,Produits!$A$5:$A$204,0)),""),"")</f>
        <v/>
      </c>
      <c r="I780" s="23"/>
    </row>
    <row r="781" customFormat="false" ht="15" hidden="false" customHeight="false" outlineLevel="0" collapsed="false">
      <c r="A781" s="27"/>
      <c r="B781" s="23"/>
      <c r="C781" s="26" t="str">
        <f aca="false">IF($B781="","",IFERROR(INDEX(Produits!$B$5:$B$204,MATCH($B781,Produits!$A$5:$A$204,0)),"Code inconnu"))</f>
        <v/>
      </c>
      <c r="D781" s="23"/>
      <c r="E781" s="24"/>
      <c r="F781" s="21" t="str">
        <f aca="false">IF(OR($B781="",$D781=""),"",IFERROR(IF($D781="Entrée",INDEX(Produits!$E$5:$E$204,MATCH($B781,Produits!$A$5:$A$204,0)),INDEX(Produits!$F$5:$F$204,MATCH($B781,Produits!$A$5:$A$204,0))),""))</f>
        <v/>
      </c>
      <c r="G781" s="21" t="str">
        <f aca="false">IF(OR($F781="",$E781=""),"",$E781*$F781)</f>
        <v/>
      </c>
      <c r="H781" s="21" t="str">
        <f aca="false">IF(AND($D781="Sortie",$B781&lt;&gt;"",$E781&lt;&gt;""),IFERROR($E781*INDEX(Produits!$E$5:$E$204,MATCH($B781,Produits!$A$5:$A$204,0)),""),"")</f>
        <v/>
      </c>
      <c r="I781" s="23"/>
    </row>
    <row r="782" customFormat="false" ht="15" hidden="false" customHeight="false" outlineLevel="0" collapsed="false">
      <c r="A782" s="27"/>
      <c r="B782" s="23"/>
      <c r="C782" s="26" t="str">
        <f aca="false">IF($B782="","",IFERROR(INDEX(Produits!$B$5:$B$204,MATCH($B782,Produits!$A$5:$A$204,0)),"Code inconnu"))</f>
        <v/>
      </c>
      <c r="D782" s="23"/>
      <c r="E782" s="24"/>
      <c r="F782" s="21" t="str">
        <f aca="false">IF(OR($B782="",$D782=""),"",IFERROR(IF($D782="Entrée",INDEX(Produits!$E$5:$E$204,MATCH($B782,Produits!$A$5:$A$204,0)),INDEX(Produits!$F$5:$F$204,MATCH($B782,Produits!$A$5:$A$204,0))),""))</f>
        <v/>
      </c>
      <c r="G782" s="21" t="str">
        <f aca="false">IF(OR($F782="",$E782=""),"",$E782*$F782)</f>
        <v/>
      </c>
      <c r="H782" s="21" t="str">
        <f aca="false">IF(AND($D782="Sortie",$B782&lt;&gt;"",$E782&lt;&gt;""),IFERROR($E782*INDEX(Produits!$E$5:$E$204,MATCH($B782,Produits!$A$5:$A$204,0)),""),"")</f>
        <v/>
      </c>
      <c r="I782" s="23"/>
    </row>
    <row r="783" customFormat="false" ht="15" hidden="false" customHeight="false" outlineLevel="0" collapsed="false">
      <c r="A783" s="27"/>
      <c r="B783" s="23"/>
      <c r="C783" s="26" t="str">
        <f aca="false">IF($B783="","",IFERROR(INDEX(Produits!$B$5:$B$204,MATCH($B783,Produits!$A$5:$A$204,0)),"Code inconnu"))</f>
        <v/>
      </c>
      <c r="D783" s="23"/>
      <c r="E783" s="24"/>
      <c r="F783" s="21" t="str">
        <f aca="false">IF(OR($B783="",$D783=""),"",IFERROR(IF($D783="Entrée",INDEX(Produits!$E$5:$E$204,MATCH($B783,Produits!$A$5:$A$204,0)),INDEX(Produits!$F$5:$F$204,MATCH($B783,Produits!$A$5:$A$204,0))),""))</f>
        <v/>
      </c>
      <c r="G783" s="21" t="str">
        <f aca="false">IF(OR($F783="",$E783=""),"",$E783*$F783)</f>
        <v/>
      </c>
      <c r="H783" s="21" t="str">
        <f aca="false">IF(AND($D783="Sortie",$B783&lt;&gt;"",$E783&lt;&gt;""),IFERROR($E783*INDEX(Produits!$E$5:$E$204,MATCH($B783,Produits!$A$5:$A$204,0)),""),"")</f>
        <v/>
      </c>
      <c r="I783" s="23"/>
    </row>
    <row r="784" customFormat="false" ht="15" hidden="false" customHeight="false" outlineLevel="0" collapsed="false">
      <c r="A784" s="27"/>
      <c r="B784" s="23"/>
      <c r="C784" s="26" t="str">
        <f aca="false">IF($B784="","",IFERROR(INDEX(Produits!$B$5:$B$204,MATCH($B784,Produits!$A$5:$A$204,0)),"Code inconnu"))</f>
        <v/>
      </c>
      <c r="D784" s="23"/>
      <c r="E784" s="24"/>
      <c r="F784" s="21" t="str">
        <f aca="false">IF(OR($B784="",$D784=""),"",IFERROR(IF($D784="Entrée",INDEX(Produits!$E$5:$E$204,MATCH($B784,Produits!$A$5:$A$204,0)),INDEX(Produits!$F$5:$F$204,MATCH($B784,Produits!$A$5:$A$204,0))),""))</f>
        <v/>
      </c>
      <c r="G784" s="21" t="str">
        <f aca="false">IF(OR($F784="",$E784=""),"",$E784*$F784)</f>
        <v/>
      </c>
      <c r="H784" s="21" t="str">
        <f aca="false">IF(AND($D784="Sortie",$B784&lt;&gt;"",$E784&lt;&gt;""),IFERROR($E784*INDEX(Produits!$E$5:$E$204,MATCH($B784,Produits!$A$5:$A$204,0)),""),"")</f>
        <v/>
      </c>
      <c r="I784" s="23"/>
    </row>
    <row r="785" customFormat="false" ht="15" hidden="false" customHeight="false" outlineLevel="0" collapsed="false">
      <c r="A785" s="27"/>
      <c r="B785" s="23"/>
      <c r="C785" s="26" t="str">
        <f aca="false">IF($B785="","",IFERROR(INDEX(Produits!$B$5:$B$204,MATCH($B785,Produits!$A$5:$A$204,0)),"Code inconnu"))</f>
        <v/>
      </c>
      <c r="D785" s="23"/>
      <c r="E785" s="24"/>
      <c r="F785" s="21" t="str">
        <f aca="false">IF(OR($B785="",$D785=""),"",IFERROR(IF($D785="Entrée",INDEX(Produits!$E$5:$E$204,MATCH($B785,Produits!$A$5:$A$204,0)),INDEX(Produits!$F$5:$F$204,MATCH($B785,Produits!$A$5:$A$204,0))),""))</f>
        <v/>
      </c>
      <c r="G785" s="21" t="str">
        <f aca="false">IF(OR($F785="",$E785=""),"",$E785*$F785)</f>
        <v/>
      </c>
      <c r="H785" s="21" t="str">
        <f aca="false">IF(AND($D785="Sortie",$B785&lt;&gt;"",$E785&lt;&gt;""),IFERROR($E785*INDEX(Produits!$E$5:$E$204,MATCH($B785,Produits!$A$5:$A$204,0)),""),"")</f>
        <v/>
      </c>
      <c r="I785" s="23"/>
    </row>
    <row r="786" customFormat="false" ht="15" hidden="false" customHeight="false" outlineLevel="0" collapsed="false">
      <c r="A786" s="27"/>
      <c r="B786" s="23"/>
      <c r="C786" s="26" t="str">
        <f aca="false">IF($B786="","",IFERROR(INDEX(Produits!$B$5:$B$204,MATCH($B786,Produits!$A$5:$A$204,0)),"Code inconnu"))</f>
        <v/>
      </c>
      <c r="D786" s="23"/>
      <c r="E786" s="24"/>
      <c r="F786" s="21" t="str">
        <f aca="false">IF(OR($B786="",$D786=""),"",IFERROR(IF($D786="Entrée",INDEX(Produits!$E$5:$E$204,MATCH($B786,Produits!$A$5:$A$204,0)),INDEX(Produits!$F$5:$F$204,MATCH($B786,Produits!$A$5:$A$204,0))),""))</f>
        <v/>
      </c>
      <c r="G786" s="21" t="str">
        <f aca="false">IF(OR($F786="",$E786=""),"",$E786*$F786)</f>
        <v/>
      </c>
      <c r="H786" s="21" t="str">
        <f aca="false">IF(AND($D786="Sortie",$B786&lt;&gt;"",$E786&lt;&gt;""),IFERROR($E786*INDEX(Produits!$E$5:$E$204,MATCH($B786,Produits!$A$5:$A$204,0)),""),"")</f>
        <v/>
      </c>
      <c r="I786" s="23"/>
    </row>
    <row r="787" customFormat="false" ht="15" hidden="false" customHeight="false" outlineLevel="0" collapsed="false">
      <c r="A787" s="27"/>
      <c r="B787" s="23"/>
      <c r="C787" s="26" t="str">
        <f aca="false">IF($B787="","",IFERROR(INDEX(Produits!$B$5:$B$204,MATCH($B787,Produits!$A$5:$A$204,0)),"Code inconnu"))</f>
        <v/>
      </c>
      <c r="D787" s="23"/>
      <c r="E787" s="24"/>
      <c r="F787" s="21" t="str">
        <f aca="false">IF(OR($B787="",$D787=""),"",IFERROR(IF($D787="Entrée",INDEX(Produits!$E$5:$E$204,MATCH($B787,Produits!$A$5:$A$204,0)),INDEX(Produits!$F$5:$F$204,MATCH($B787,Produits!$A$5:$A$204,0))),""))</f>
        <v/>
      </c>
      <c r="G787" s="21" t="str">
        <f aca="false">IF(OR($F787="",$E787=""),"",$E787*$F787)</f>
        <v/>
      </c>
      <c r="H787" s="21" t="str">
        <f aca="false">IF(AND($D787="Sortie",$B787&lt;&gt;"",$E787&lt;&gt;""),IFERROR($E787*INDEX(Produits!$E$5:$E$204,MATCH($B787,Produits!$A$5:$A$204,0)),""),"")</f>
        <v/>
      </c>
      <c r="I787" s="23"/>
    </row>
    <row r="788" customFormat="false" ht="15" hidden="false" customHeight="false" outlineLevel="0" collapsed="false">
      <c r="A788" s="27"/>
      <c r="B788" s="23"/>
      <c r="C788" s="26" t="str">
        <f aca="false">IF($B788="","",IFERROR(INDEX(Produits!$B$5:$B$204,MATCH($B788,Produits!$A$5:$A$204,0)),"Code inconnu"))</f>
        <v/>
      </c>
      <c r="D788" s="23"/>
      <c r="E788" s="24"/>
      <c r="F788" s="21" t="str">
        <f aca="false">IF(OR($B788="",$D788=""),"",IFERROR(IF($D788="Entrée",INDEX(Produits!$E$5:$E$204,MATCH($B788,Produits!$A$5:$A$204,0)),INDEX(Produits!$F$5:$F$204,MATCH($B788,Produits!$A$5:$A$204,0))),""))</f>
        <v/>
      </c>
      <c r="G788" s="21" t="str">
        <f aca="false">IF(OR($F788="",$E788=""),"",$E788*$F788)</f>
        <v/>
      </c>
      <c r="H788" s="21" t="str">
        <f aca="false">IF(AND($D788="Sortie",$B788&lt;&gt;"",$E788&lt;&gt;""),IFERROR($E788*INDEX(Produits!$E$5:$E$204,MATCH($B788,Produits!$A$5:$A$204,0)),""),"")</f>
        <v/>
      </c>
      <c r="I788" s="23"/>
    </row>
    <row r="789" customFormat="false" ht="15" hidden="false" customHeight="false" outlineLevel="0" collapsed="false">
      <c r="A789" s="27"/>
      <c r="B789" s="23"/>
      <c r="C789" s="26" t="str">
        <f aca="false">IF($B789="","",IFERROR(INDEX(Produits!$B$5:$B$204,MATCH($B789,Produits!$A$5:$A$204,0)),"Code inconnu"))</f>
        <v/>
      </c>
      <c r="D789" s="23"/>
      <c r="E789" s="24"/>
      <c r="F789" s="21" t="str">
        <f aca="false">IF(OR($B789="",$D789=""),"",IFERROR(IF($D789="Entrée",INDEX(Produits!$E$5:$E$204,MATCH($B789,Produits!$A$5:$A$204,0)),INDEX(Produits!$F$5:$F$204,MATCH($B789,Produits!$A$5:$A$204,0))),""))</f>
        <v/>
      </c>
      <c r="G789" s="21" t="str">
        <f aca="false">IF(OR($F789="",$E789=""),"",$E789*$F789)</f>
        <v/>
      </c>
      <c r="H789" s="21" t="str">
        <f aca="false">IF(AND($D789="Sortie",$B789&lt;&gt;"",$E789&lt;&gt;""),IFERROR($E789*INDEX(Produits!$E$5:$E$204,MATCH($B789,Produits!$A$5:$A$204,0)),""),"")</f>
        <v/>
      </c>
      <c r="I789" s="23"/>
    </row>
    <row r="790" customFormat="false" ht="15" hidden="false" customHeight="false" outlineLevel="0" collapsed="false">
      <c r="A790" s="27"/>
      <c r="B790" s="23"/>
      <c r="C790" s="26" t="str">
        <f aca="false">IF($B790="","",IFERROR(INDEX(Produits!$B$5:$B$204,MATCH($B790,Produits!$A$5:$A$204,0)),"Code inconnu"))</f>
        <v/>
      </c>
      <c r="D790" s="23"/>
      <c r="E790" s="24"/>
      <c r="F790" s="21" t="str">
        <f aca="false">IF(OR($B790="",$D790=""),"",IFERROR(IF($D790="Entrée",INDEX(Produits!$E$5:$E$204,MATCH($B790,Produits!$A$5:$A$204,0)),INDEX(Produits!$F$5:$F$204,MATCH($B790,Produits!$A$5:$A$204,0))),""))</f>
        <v/>
      </c>
      <c r="G790" s="21" t="str">
        <f aca="false">IF(OR($F790="",$E790=""),"",$E790*$F790)</f>
        <v/>
      </c>
      <c r="H790" s="21" t="str">
        <f aca="false">IF(AND($D790="Sortie",$B790&lt;&gt;"",$E790&lt;&gt;""),IFERROR($E790*INDEX(Produits!$E$5:$E$204,MATCH($B790,Produits!$A$5:$A$204,0)),""),"")</f>
        <v/>
      </c>
      <c r="I790" s="23"/>
    </row>
    <row r="791" customFormat="false" ht="15" hidden="false" customHeight="false" outlineLevel="0" collapsed="false">
      <c r="A791" s="27"/>
      <c r="B791" s="23"/>
      <c r="C791" s="26" t="str">
        <f aca="false">IF($B791="","",IFERROR(INDEX(Produits!$B$5:$B$204,MATCH($B791,Produits!$A$5:$A$204,0)),"Code inconnu"))</f>
        <v/>
      </c>
      <c r="D791" s="23"/>
      <c r="E791" s="24"/>
      <c r="F791" s="21" t="str">
        <f aca="false">IF(OR($B791="",$D791=""),"",IFERROR(IF($D791="Entrée",INDEX(Produits!$E$5:$E$204,MATCH($B791,Produits!$A$5:$A$204,0)),INDEX(Produits!$F$5:$F$204,MATCH($B791,Produits!$A$5:$A$204,0))),""))</f>
        <v/>
      </c>
      <c r="G791" s="21" t="str">
        <f aca="false">IF(OR($F791="",$E791=""),"",$E791*$F791)</f>
        <v/>
      </c>
      <c r="H791" s="21" t="str">
        <f aca="false">IF(AND($D791="Sortie",$B791&lt;&gt;"",$E791&lt;&gt;""),IFERROR($E791*INDEX(Produits!$E$5:$E$204,MATCH($B791,Produits!$A$5:$A$204,0)),""),"")</f>
        <v/>
      </c>
      <c r="I791" s="23"/>
    </row>
    <row r="792" customFormat="false" ht="15" hidden="false" customHeight="false" outlineLevel="0" collapsed="false">
      <c r="A792" s="27"/>
      <c r="B792" s="23"/>
      <c r="C792" s="26" t="str">
        <f aca="false">IF($B792="","",IFERROR(INDEX(Produits!$B$5:$B$204,MATCH($B792,Produits!$A$5:$A$204,0)),"Code inconnu"))</f>
        <v/>
      </c>
      <c r="D792" s="23"/>
      <c r="E792" s="24"/>
      <c r="F792" s="21" t="str">
        <f aca="false">IF(OR($B792="",$D792=""),"",IFERROR(IF($D792="Entrée",INDEX(Produits!$E$5:$E$204,MATCH($B792,Produits!$A$5:$A$204,0)),INDEX(Produits!$F$5:$F$204,MATCH($B792,Produits!$A$5:$A$204,0))),""))</f>
        <v/>
      </c>
      <c r="G792" s="21" t="str">
        <f aca="false">IF(OR($F792="",$E792=""),"",$E792*$F792)</f>
        <v/>
      </c>
      <c r="H792" s="21" t="str">
        <f aca="false">IF(AND($D792="Sortie",$B792&lt;&gt;"",$E792&lt;&gt;""),IFERROR($E792*INDEX(Produits!$E$5:$E$204,MATCH($B792,Produits!$A$5:$A$204,0)),""),"")</f>
        <v/>
      </c>
      <c r="I792" s="23"/>
    </row>
    <row r="793" customFormat="false" ht="15" hidden="false" customHeight="false" outlineLevel="0" collapsed="false">
      <c r="A793" s="27"/>
      <c r="B793" s="23"/>
      <c r="C793" s="26" t="str">
        <f aca="false">IF($B793="","",IFERROR(INDEX(Produits!$B$5:$B$204,MATCH($B793,Produits!$A$5:$A$204,0)),"Code inconnu"))</f>
        <v/>
      </c>
      <c r="D793" s="23"/>
      <c r="E793" s="24"/>
      <c r="F793" s="21" t="str">
        <f aca="false">IF(OR($B793="",$D793=""),"",IFERROR(IF($D793="Entrée",INDEX(Produits!$E$5:$E$204,MATCH($B793,Produits!$A$5:$A$204,0)),INDEX(Produits!$F$5:$F$204,MATCH($B793,Produits!$A$5:$A$204,0))),""))</f>
        <v/>
      </c>
      <c r="G793" s="21" t="str">
        <f aca="false">IF(OR($F793="",$E793=""),"",$E793*$F793)</f>
        <v/>
      </c>
      <c r="H793" s="21" t="str">
        <f aca="false">IF(AND($D793="Sortie",$B793&lt;&gt;"",$E793&lt;&gt;""),IFERROR($E793*INDEX(Produits!$E$5:$E$204,MATCH($B793,Produits!$A$5:$A$204,0)),""),"")</f>
        <v/>
      </c>
      <c r="I793" s="23"/>
    </row>
    <row r="794" customFormat="false" ht="15" hidden="false" customHeight="false" outlineLevel="0" collapsed="false">
      <c r="A794" s="27"/>
      <c r="B794" s="23"/>
      <c r="C794" s="26" t="str">
        <f aca="false">IF($B794="","",IFERROR(INDEX(Produits!$B$5:$B$204,MATCH($B794,Produits!$A$5:$A$204,0)),"Code inconnu"))</f>
        <v/>
      </c>
      <c r="D794" s="23"/>
      <c r="E794" s="24"/>
      <c r="F794" s="21" t="str">
        <f aca="false">IF(OR($B794="",$D794=""),"",IFERROR(IF($D794="Entrée",INDEX(Produits!$E$5:$E$204,MATCH($B794,Produits!$A$5:$A$204,0)),INDEX(Produits!$F$5:$F$204,MATCH($B794,Produits!$A$5:$A$204,0))),""))</f>
        <v/>
      </c>
      <c r="G794" s="21" t="str">
        <f aca="false">IF(OR($F794="",$E794=""),"",$E794*$F794)</f>
        <v/>
      </c>
      <c r="H794" s="21" t="str">
        <f aca="false">IF(AND($D794="Sortie",$B794&lt;&gt;"",$E794&lt;&gt;""),IFERROR($E794*INDEX(Produits!$E$5:$E$204,MATCH($B794,Produits!$A$5:$A$204,0)),""),"")</f>
        <v/>
      </c>
      <c r="I794" s="23"/>
    </row>
    <row r="795" customFormat="false" ht="15" hidden="false" customHeight="false" outlineLevel="0" collapsed="false">
      <c r="A795" s="27"/>
      <c r="B795" s="23"/>
      <c r="C795" s="26" t="str">
        <f aca="false">IF($B795="","",IFERROR(INDEX(Produits!$B$5:$B$204,MATCH($B795,Produits!$A$5:$A$204,0)),"Code inconnu"))</f>
        <v/>
      </c>
      <c r="D795" s="23"/>
      <c r="E795" s="24"/>
      <c r="F795" s="21" t="str">
        <f aca="false">IF(OR($B795="",$D795=""),"",IFERROR(IF($D795="Entrée",INDEX(Produits!$E$5:$E$204,MATCH($B795,Produits!$A$5:$A$204,0)),INDEX(Produits!$F$5:$F$204,MATCH($B795,Produits!$A$5:$A$204,0))),""))</f>
        <v/>
      </c>
      <c r="G795" s="21" t="str">
        <f aca="false">IF(OR($F795="",$E795=""),"",$E795*$F795)</f>
        <v/>
      </c>
      <c r="H795" s="21" t="str">
        <f aca="false">IF(AND($D795="Sortie",$B795&lt;&gt;"",$E795&lt;&gt;""),IFERROR($E795*INDEX(Produits!$E$5:$E$204,MATCH($B795,Produits!$A$5:$A$204,0)),""),"")</f>
        <v/>
      </c>
      <c r="I795" s="23"/>
    </row>
    <row r="796" customFormat="false" ht="15" hidden="false" customHeight="false" outlineLevel="0" collapsed="false">
      <c r="A796" s="27"/>
      <c r="B796" s="23"/>
      <c r="C796" s="26" t="str">
        <f aca="false">IF($B796="","",IFERROR(INDEX(Produits!$B$5:$B$204,MATCH($B796,Produits!$A$5:$A$204,0)),"Code inconnu"))</f>
        <v/>
      </c>
      <c r="D796" s="23"/>
      <c r="E796" s="24"/>
      <c r="F796" s="21" t="str">
        <f aca="false">IF(OR($B796="",$D796=""),"",IFERROR(IF($D796="Entrée",INDEX(Produits!$E$5:$E$204,MATCH($B796,Produits!$A$5:$A$204,0)),INDEX(Produits!$F$5:$F$204,MATCH($B796,Produits!$A$5:$A$204,0))),""))</f>
        <v/>
      </c>
      <c r="G796" s="21" t="str">
        <f aca="false">IF(OR($F796="",$E796=""),"",$E796*$F796)</f>
        <v/>
      </c>
      <c r="H796" s="21" t="str">
        <f aca="false">IF(AND($D796="Sortie",$B796&lt;&gt;"",$E796&lt;&gt;""),IFERROR($E796*INDEX(Produits!$E$5:$E$204,MATCH($B796,Produits!$A$5:$A$204,0)),""),"")</f>
        <v/>
      </c>
      <c r="I796" s="23"/>
    </row>
    <row r="797" customFormat="false" ht="15" hidden="false" customHeight="false" outlineLevel="0" collapsed="false">
      <c r="A797" s="27"/>
      <c r="B797" s="23"/>
      <c r="C797" s="26" t="str">
        <f aca="false">IF($B797="","",IFERROR(INDEX(Produits!$B$5:$B$204,MATCH($B797,Produits!$A$5:$A$204,0)),"Code inconnu"))</f>
        <v/>
      </c>
      <c r="D797" s="23"/>
      <c r="E797" s="24"/>
      <c r="F797" s="21" t="str">
        <f aca="false">IF(OR($B797="",$D797=""),"",IFERROR(IF($D797="Entrée",INDEX(Produits!$E$5:$E$204,MATCH($B797,Produits!$A$5:$A$204,0)),INDEX(Produits!$F$5:$F$204,MATCH($B797,Produits!$A$5:$A$204,0))),""))</f>
        <v/>
      </c>
      <c r="G797" s="21" t="str">
        <f aca="false">IF(OR($F797="",$E797=""),"",$E797*$F797)</f>
        <v/>
      </c>
      <c r="H797" s="21" t="str">
        <f aca="false">IF(AND($D797="Sortie",$B797&lt;&gt;"",$E797&lt;&gt;""),IFERROR($E797*INDEX(Produits!$E$5:$E$204,MATCH($B797,Produits!$A$5:$A$204,0)),""),"")</f>
        <v/>
      </c>
      <c r="I797" s="23"/>
    </row>
    <row r="798" customFormat="false" ht="15" hidden="false" customHeight="false" outlineLevel="0" collapsed="false">
      <c r="A798" s="27"/>
      <c r="B798" s="23"/>
      <c r="C798" s="26" t="str">
        <f aca="false">IF($B798="","",IFERROR(INDEX(Produits!$B$5:$B$204,MATCH($B798,Produits!$A$5:$A$204,0)),"Code inconnu"))</f>
        <v/>
      </c>
      <c r="D798" s="23"/>
      <c r="E798" s="24"/>
      <c r="F798" s="21" t="str">
        <f aca="false">IF(OR($B798="",$D798=""),"",IFERROR(IF($D798="Entrée",INDEX(Produits!$E$5:$E$204,MATCH($B798,Produits!$A$5:$A$204,0)),INDEX(Produits!$F$5:$F$204,MATCH($B798,Produits!$A$5:$A$204,0))),""))</f>
        <v/>
      </c>
      <c r="G798" s="21" t="str">
        <f aca="false">IF(OR($F798="",$E798=""),"",$E798*$F798)</f>
        <v/>
      </c>
      <c r="H798" s="21" t="str">
        <f aca="false">IF(AND($D798="Sortie",$B798&lt;&gt;"",$E798&lt;&gt;""),IFERROR($E798*INDEX(Produits!$E$5:$E$204,MATCH($B798,Produits!$A$5:$A$204,0)),""),"")</f>
        <v/>
      </c>
      <c r="I798" s="23"/>
    </row>
    <row r="799" customFormat="false" ht="15" hidden="false" customHeight="false" outlineLevel="0" collapsed="false">
      <c r="A799" s="27"/>
      <c r="B799" s="23"/>
      <c r="C799" s="26" t="str">
        <f aca="false">IF($B799="","",IFERROR(INDEX(Produits!$B$5:$B$204,MATCH($B799,Produits!$A$5:$A$204,0)),"Code inconnu"))</f>
        <v/>
      </c>
      <c r="D799" s="23"/>
      <c r="E799" s="24"/>
      <c r="F799" s="21" t="str">
        <f aca="false">IF(OR($B799="",$D799=""),"",IFERROR(IF($D799="Entrée",INDEX(Produits!$E$5:$E$204,MATCH($B799,Produits!$A$5:$A$204,0)),INDEX(Produits!$F$5:$F$204,MATCH($B799,Produits!$A$5:$A$204,0))),""))</f>
        <v/>
      </c>
      <c r="G799" s="21" t="str">
        <f aca="false">IF(OR($F799="",$E799=""),"",$E799*$F799)</f>
        <v/>
      </c>
      <c r="H799" s="21" t="str">
        <f aca="false">IF(AND($D799="Sortie",$B799&lt;&gt;"",$E799&lt;&gt;""),IFERROR($E799*INDEX(Produits!$E$5:$E$204,MATCH($B799,Produits!$A$5:$A$204,0)),""),"")</f>
        <v/>
      </c>
      <c r="I799" s="23"/>
    </row>
    <row r="800" customFormat="false" ht="15" hidden="false" customHeight="false" outlineLevel="0" collapsed="false">
      <c r="A800" s="27"/>
      <c r="B800" s="23"/>
      <c r="C800" s="26" t="str">
        <f aca="false">IF($B800="","",IFERROR(INDEX(Produits!$B$5:$B$204,MATCH($B800,Produits!$A$5:$A$204,0)),"Code inconnu"))</f>
        <v/>
      </c>
      <c r="D800" s="23"/>
      <c r="E800" s="24"/>
      <c r="F800" s="21" t="str">
        <f aca="false">IF(OR($B800="",$D800=""),"",IFERROR(IF($D800="Entrée",INDEX(Produits!$E$5:$E$204,MATCH($B800,Produits!$A$5:$A$204,0)),INDEX(Produits!$F$5:$F$204,MATCH($B800,Produits!$A$5:$A$204,0))),""))</f>
        <v/>
      </c>
      <c r="G800" s="21" t="str">
        <f aca="false">IF(OR($F800="",$E800=""),"",$E800*$F800)</f>
        <v/>
      </c>
      <c r="H800" s="21" t="str">
        <f aca="false">IF(AND($D800="Sortie",$B800&lt;&gt;"",$E800&lt;&gt;""),IFERROR($E800*INDEX(Produits!$E$5:$E$204,MATCH($B800,Produits!$A$5:$A$204,0)),""),"")</f>
        <v/>
      </c>
      <c r="I800" s="23"/>
    </row>
    <row r="801" customFormat="false" ht="15" hidden="false" customHeight="false" outlineLevel="0" collapsed="false">
      <c r="A801" s="27"/>
      <c r="B801" s="23"/>
      <c r="C801" s="26" t="str">
        <f aca="false">IF($B801="","",IFERROR(INDEX(Produits!$B$5:$B$204,MATCH($B801,Produits!$A$5:$A$204,0)),"Code inconnu"))</f>
        <v/>
      </c>
      <c r="D801" s="23"/>
      <c r="E801" s="24"/>
      <c r="F801" s="21" t="str">
        <f aca="false">IF(OR($B801="",$D801=""),"",IFERROR(IF($D801="Entrée",INDEX(Produits!$E$5:$E$204,MATCH($B801,Produits!$A$5:$A$204,0)),INDEX(Produits!$F$5:$F$204,MATCH($B801,Produits!$A$5:$A$204,0))),""))</f>
        <v/>
      </c>
      <c r="G801" s="21" t="str">
        <f aca="false">IF(OR($F801="",$E801=""),"",$E801*$F801)</f>
        <v/>
      </c>
      <c r="H801" s="21" t="str">
        <f aca="false">IF(AND($D801="Sortie",$B801&lt;&gt;"",$E801&lt;&gt;""),IFERROR($E801*INDEX(Produits!$E$5:$E$204,MATCH($B801,Produits!$A$5:$A$204,0)),""),"")</f>
        <v/>
      </c>
      <c r="I801" s="23"/>
    </row>
    <row r="802" customFormat="false" ht="15" hidden="false" customHeight="false" outlineLevel="0" collapsed="false">
      <c r="A802" s="27"/>
      <c r="B802" s="23"/>
      <c r="C802" s="26" t="str">
        <f aca="false">IF($B802="","",IFERROR(INDEX(Produits!$B$5:$B$204,MATCH($B802,Produits!$A$5:$A$204,0)),"Code inconnu"))</f>
        <v/>
      </c>
      <c r="D802" s="23"/>
      <c r="E802" s="24"/>
      <c r="F802" s="21" t="str">
        <f aca="false">IF(OR($B802="",$D802=""),"",IFERROR(IF($D802="Entrée",INDEX(Produits!$E$5:$E$204,MATCH($B802,Produits!$A$5:$A$204,0)),INDEX(Produits!$F$5:$F$204,MATCH($B802,Produits!$A$5:$A$204,0))),""))</f>
        <v/>
      </c>
      <c r="G802" s="21" t="str">
        <f aca="false">IF(OR($F802="",$E802=""),"",$E802*$F802)</f>
        <v/>
      </c>
      <c r="H802" s="21" t="str">
        <f aca="false">IF(AND($D802="Sortie",$B802&lt;&gt;"",$E802&lt;&gt;""),IFERROR($E802*INDEX(Produits!$E$5:$E$204,MATCH($B802,Produits!$A$5:$A$204,0)),""),"")</f>
        <v/>
      </c>
      <c r="I802" s="23"/>
    </row>
    <row r="803" customFormat="false" ht="15" hidden="false" customHeight="false" outlineLevel="0" collapsed="false">
      <c r="A803" s="27"/>
      <c r="B803" s="23"/>
      <c r="C803" s="26" t="str">
        <f aca="false">IF($B803="","",IFERROR(INDEX(Produits!$B$5:$B$204,MATCH($B803,Produits!$A$5:$A$204,0)),"Code inconnu"))</f>
        <v/>
      </c>
      <c r="D803" s="23"/>
      <c r="E803" s="24"/>
      <c r="F803" s="21" t="str">
        <f aca="false">IF(OR($B803="",$D803=""),"",IFERROR(IF($D803="Entrée",INDEX(Produits!$E$5:$E$204,MATCH($B803,Produits!$A$5:$A$204,0)),INDEX(Produits!$F$5:$F$204,MATCH($B803,Produits!$A$5:$A$204,0))),""))</f>
        <v/>
      </c>
      <c r="G803" s="21" t="str">
        <f aca="false">IF(OR($F803="",$E803=""),"",$E803*$F803)</f>
        <v/>
      </c>
      <c r="H803" s="21" t="str">
        <f aca="false">IF(AND($D803="Sortie",$B803&lt;&gt;"",$E803&lt;&gt;""),IFERROR($E803*INDEX(Produits!$E$5:$E$204,MATCH($B803,Produits!$A$5:$A$204,0)),""),"")</f>
        <v/>
      </c>
      <c r="I803" s="23"/>
    </row>
    <row r="804" customFormat="false" ht="15" hidden="false" customHeight="false" outlineLevel="0" collapsed="false">
      <c r="A804" s="27"/>
      <c r="B804" s="23"/>
      <c r="C804" s="26" t="str">
        <f aca="false">IF($B804="","",IFERROR(INDEX(Produits!$B$5:$B$204,MATCH($B804,Produits!$A$5:$A$204,0)),"Code inconnu"))</f>
        <v/>
      </c>
      <c r="D804" s="23"/>
      <c r="E804" s="24"/>
      <c r="F804" s="21" t="str">
        <f aca="false">IF(OR($B804="",$D804=""),"",IFERROR(IF($D804="Entrée",INDEX(Produits!$E$5:$E$204,MATCH($B804,Produits!$A$5:$A$204,0)),INDEX(Produits!$F$5:$F$204,MATCH($B804,Produits!$A$5:$A$204,0))),""))</f>
        <v/>
      </c>
      <c r="G804" s="21" t="str">
        <f aca="false">IF(OR($F804="",$E804=""),"",$E804*$F804)</f>
        <v/>
      </c>
      <c r="H804" s="21" t="str">
        <f aca="false">IF(AND($D804="Sortie",$B804&lt;&gt;"",$E804&lt;&gt;""),IFERROR($E804*INDEX(Produits!$E$5:$E$204,MATCH($B804,Produits!$A$5:$A$204,0)),""),"")</f>
        <v/>
      </c>
      <c r="I804" s="23"/>
    </row>
    <row r="805" customFormat="false" ht="15" hidden="false" customHeight="false" outlineLevel="0" collapsed="false">
      <c r="A805" s="27"/>
      <c r="B805" s="23"/>
      <c r="C805" s="26" t="str">
        <f aca="false">IF($B805="","",IFERROR(INDEX(Produits!$B$5:$B$204,MATCH($B805,Produits!$A$5:$A$204,0)),"Code inconnu"))</f>
        <v/>
      </c>
      <c r="D805" s="23"/>
      <c r="E805" s="24"/>
      <c r="F805" s="21" t="str">
        <f aca="false">IF(OR($B805="",$D805=""),"",IFERROR(IF($D805="Entrée",INDEX(Produits!$E$5:$E$204,MATCH($B805,Produits!$A$5:$A$204,0)),INDEX(Produits!$F$5:$F$204,MATCH($B805,Produits!$A$5:$A$204,0))),""))</f>
        <v/>
      </c>
      <c r="G805" s="21" t="str">
        <f aca="false">IF(OR($F805="",$E805=""),"",$E805*$F805)</f>
        <v/>
      </c>
      <c r="H805" s="21" t="str">
        <f aca="false">IF(AND($D805="Sortie",$B805&lt;&gt;"",$E805&lt;&gt;""),IFERROR($E805*INDEX(Produits!$E$5:$E$204,MATCH($B805,Produits!$A$5:$A$204,0)),""),"")</f>
        <v/>
      </c>
      <c r="I805" s="23"/>
    </row>
    <row r="806" customFormat="false" ht="15" hidden="false" customHeight="false" outlineLevel="0" collapsed="false">
      <c r="A806" s="27"/>
      <c r="B806" s="23"/>
      <c r="C806" s="26" t="str">
        <f aca="false">IF($B806="","",IFERROR(INDEX(Produits!$B$5:$B$204,MATCH($B806,Produits!$A$5:$A$204,0)),"Code inconnu"))</f>
        <v/>
      </c>
      <c r="D806" s="23"/>
      <c r="E806" s="24"/>
      <c r="F806" s="21" t="str">
        <f aca="false">IF(OR($B806="",$D806=""),"",IFERROR(IF($D806="Entrée",INDEX(Produits!$E$5:$E$204,MATCH($B806,Produits!$A$5:$A$204,0)),INDEX(Produits!$F$5:$F$204,MATCH($B806,Produits!$A$5:$A$204,0))),""))</f>
        <v/>
      </c>
      <c r="G806" s="21" t="str">
        <f aca="false">IF(OR($F806="",$E806=""),"",$E806*$F806)</f>
        <v/>
      </c>
      <c r="H806" s="21" t="str">
        <f aca="false">IF(AND($D806="Sortie",$B806&lt;&gt;"",$E806&lt;&gt;""),IFERROR($E806*INDEX(Produits!$E$5:$E$204,MATCH($B806,Produits!$A$5:$A$204,0)),""),"")</f>
        <v/>
      </c>
      <c r="I806" s="23"/>
    </row>
    <row r="807" customFormat="false" ht="15" hidden="false" customHeight="false" outlineLevel="0" collapsed="false">
      <c r="A807" s="27"/>
      <c r="B807" s="23"/>
      <c r="C807" s="26" t="str">
        <f aca="false">IF($B807="","",IFERROR(INDEX(Produits!$B$5:$B$204,MATCH($B807,Produits!$A$5:$A$204,0)),"Code inconnu"))</f>
        <v/>
      </c>
      <c r="D807" s="23"/>
      <c r="E807" s="24"/>
      <c r="F807" s="21" t="str">
        <f aca="false">IF(OR($B807="",$D807=""),"",IFERROR(IF($D807="Entrée",INDEX(Produits!$E$5:$E$204,MATCH($B807,Produits!$A$5:$A$204,0)),INDEX(Produits!$F$5:$F$204,MATCH($B807,Produits!$A$5:$A$204,0))),""))</f>
        <v/>
      </c>
      <c r="G807" s="21" t="str">
        <f aca="false">IF(OR($F807="",$E807=""),"",$E807*$F807)</f>
        <v/>
      </c>
      <c r="H807" s="21" t="str">
        <f aca="false">IF(AND($D807="Sortie",$B807&lt;&gt;"",$E807&lt;&gt;""),IFERROR($E807*INDEX(Produits!$E$5:$E$204,MATCH($B807,Produits!$A$5:$A$204,0)),""),"")</f>
        <v/>
      </c>
      <c r="I807" s="23"/>
    </row>
    <row r="808" customFormat="false" ht="15" hidden="false" customHeight="false" outlineLevel="0" collapsed="false">
      <c r="A808" s="27"/>
      <c r="B808" s="23"/>
      <c r="C808" s="26" t="str">
        <f aca="false">IF($B808="","",IFERROR(INDEX(Produits!$B$5:$B$204,MATCH($B808,Produits!$A$5:$A$204,0)),"Code inconnu"))</f>
        <v/>
      </c>
      <c r="D808" s="23"/>
      <c r="E808" s="24"/>
      <c r="F808" s="21" t="str">
        <f aca="false">IF(OR($B808="",$D808=""),"",IFERROR(IF($D808="Entrée",INDEX(Produits!$E$5:$E$204,MATCH($B808,Produits!$A$5:$A$204,0)),INDEX(Produits!$F$5:$F$204,MATCH($B808,Produits!$A$5:$A$204,0))),""))</f>
        <v/>
      </c>
      <c r="G808" s="21" t="str">
        <f aca="false">IF(OR($F808="",$E808=""),"",$E808*$F808)</f>
        <v/>
      </c>
      <c r="H808" s="21" t="str">
        <f aca="false">IF(AND($D808="Sortie",$B808&lt;&gt;"",$E808&lt;&gt;""),IFERROR($E808*INDEX(Produits!$E$5:$E$204,MATCH($B808,Produits!$A$5:$A$204,0)),""),"")</f>
        <v/>
      </c>
      <c r="I808" s="23"/>
    </row>
    <row r="809" customFormat="false" ht="15" hidden="false" customHeight="false" outlineLevel="0" collapsed="false">
      <c r="A809" s="27"/>
      <c r="B809" s="23"/>
      <c r="C809" s="26" t="str">
        <f aca="false">IF($B809="","",IFERROR(INDEX(Produits!$B$5:$B$204,MATCH($B809,Produits!$A$5:$A$204,0)),"Code inconnu"))</f>
        <v/>
      </c>
      <c r="D809" s="23"/>
      <c r="E809" s="24"/>
      <c r="F809" s="21" t="str">
        <f aca="false">IF(OR($B809="",$D809=""),"",IFERROR(IF($D809="Entrée",INDEX(Produits!$E$5:$E$204,MATCH($B809,Produits!$A$5:$A$204,0)),INDEX(Produits!$F$5:$F$204,MATCH($B809,Produits!$A$5:$A$204,0))),""))</f>
        <v/>
      </c>
      <c r="G809" s="21" t="str">
        <f aca="false">IF(OR($F809="",$E809=""),"",$E809*$F809)</f>
        <v/>
      </c>
      <c r="H809" s="21" t="str">
        <f aca="false">IF(AND($D809="Sortie",$B809&lt;&gt;"",$E809&lt;&gt;""),IFERROR($E809*INDEX(Produits!$E$5:$E$204,MATCH($B809,Produits!$A$5:$A$204,0)),""),"")</f>
        <v/>
      </c>
      <c r="I809" s="23"/>
    </row>
    <row r="810" customFormat="false" ht="15" hidden="false" customHeight="false" outlineLevel="0" collapsed="false">
      <c r="A810" s="27"/>
      <c r="B810" s="23"/>
      <c r="C810" s="26" t="str">
        <f aca="false">IF($B810="","",IFERROR(INDEX(Produits!$B$5:$B$204,MATCH($B810,Produits!$A$5:$A$204,0)),"Code inconnu"))</f>
        <v/>
      </c>
      <c r="D810" s="23"/>
      <c r="E810" s="24"/>
      <c r="F810" s="21" t="str">
        <f aca="false">IF(OR($B810="",$D810=""),"",IFERROR(IF($D810="Entrée",INDEX(Produits!$E$5:$E$204,MATCH($B810,Produits!$A$5:$A$204,0)),INDEX(Produits!$F$5:$F$204,MATCH($B810,Produits!$A$5:$A$204,0))),""))</f>
        <v/>
      </c>
      <c r="G810" s="21" t="str">
        <f aca="false">IF(OR($F810="",$E810=""),"",$E810*$F810)</f>
        <v/>
      </c>
      <c r="H810" s="21" t="str">
        <f aca="false">IF(AND($D810="Sortie",$B810&lt;&gt;"",$E810&lt;&gt;""),IFERROR($E810*INDEX(Produits!$E$5:$E$204,MATCH($B810,Produits!$A$5:$A$204,0)),""),"")</f>
        <v/>
      </c>
      <c r="I810" s="23"/>
    </row>
    <row r="811" customFormat="false" ht="15" hidden="false" customHeight="false" outlineLevel="0" collapsed="false">
      <c r="A811" s="27"/>
      <c r="B811" s="23"/>
      <c r="C811" s="26" t="str">
        <f aca="false">IF($B811="","",IFERROR(INDEX(Produits!$B$5:$B$204,MATCH($B811,Produits!$A$5:$A$204,0)),"Code inconnu"))</f>
        <v/>
      </c>
      <c r="D811" s="23"/>
      <c r="E811" s="24"/>
      <c r="F811" s="21" t="str">
        <f aca="false">IF(OR($B811="",$D811=""),"",IFERROR(IF($D811="Entrée",INDEX(Produits!$E$5:$E$204,MATCH($B811,Produits!$A$5:$A$204,0)),INDEX(Produits!$F$5:$F$204,MATCH($B811,Produits!$A$5:$A$204,0))),""))</f>
        <v/>
      </c>
      <c r="G811" s="21" t="str">
        <f aca="false">IF(OR($F811="",$E811=""),"",$E811*$F811)</f>
        <v/>
      </c>
      <c r="H811" s="21" t="str">
        <f aca="false">IF(AND($D811="Sortie",$B811&lt;&gt;"",$E811&lt;&gt;""),IFERROR($E811*INDEX(Produits!$E$5:$E$204,MATCH($B811,Produits!$A$5:$A$204,0)),""),"")</f>
        <v/>
      </c>
      <c r="I811" s="23"/>
    </row>
    <row r="812" customFormat="false" ht="15" hidden="false" customHeight="false" outlineLevel="0" collapsed="false">
      <c r="A812" s="27"/>
      <c r="B812" s="23"/>
      <c r="C812" s="26" t="str">
        <f aca="false">IF($B812="","",IFERROR(INDEX(Produits!$B$5:$B$204,MATCH($B812,Produits!$A$5:$A$204,0)),"Code inconnu"))</f>
        <v/>
      </c>
      <c r="D812" s="23"/>
      <c r="E812" s="24"/>
      <c r="F812" s="21" t="str">
        <f aca="false">IF(OR($B812="",$D812=""),"",IFERROR(IF($D812="Entrée",INDEX(Produits!$E$5:$E$204,MATCH($B812,Produits!$A$5:$A$204,0)),INDEX(Produits!$F$5:$F$204,MATCH($B812,Produits!$A$5:$A$204,0))),""))</f>
        <v/>
      </c>
      <c r="G812" s="21" t="str">
        <f aca="false">IF(OR($F812="",$E812=""),"",$E812*$F812)</f>
        <v/>
      </c>
      <c r="H812" s="21" t="str">
        <f aca="false">IF(AND($D812="Sortie",$B812&lt;&gt;"",$E812&lt;&gt;""),IFERROR($E812*INDEX(Produits!$E$5:$E$204,MATCH($B812,Produits!$A$5:$A$204,0)),""),"")</f>
        <v/>
      </c>
      <c r="I812" s="23"/>
    </row>
    <row r="813" customFormat="false" ht="15" hidden="false" customHeight="false" outlineLevel="0" collapsed="false">
      <c r="A813" s="27"/>
      <c r="B813" s="23"/>
      <c r="C813" s="26" t="str">
        <f aca="false">IF($B813="","",IFERROR(INDEX(Produits!$B$5:$B$204,MATCH($B813,Produits!$A$5:$A$204,0)),"Code inconnu"))</f>
        <v/>
      </c>
      <c r="D813" s="23"/>
      <c r="E813" s="24"/>
      <c r="F813" s="21" t="str">
        <f aca="false">IF(OR($B813="",$D813=""),"",IFERROR(IF($D813="Entrée",INDEX(Produits!$E$5:$E$204,MATCH($B813,Produits!$A$5:$A$204,0)),INDEX(Produits!$F$5:$F$204,MATCH($B813,Produits!$A$5:$A$204,0))),""))</f>
        <v/>
      </c>
      <c r="G813" s="21" t="str">
        <f aca="false">IF(OR($F813="",$E813=""),"",$E813*$F813)</f>
        <v/>
      </c>
      <c r="H813" s="21" t="str">
        <f aca="false">IF(AND($D813="Sortie",$B813&lt;&gt;"",$E813&lt;&gt;""),IFERROR($E813*INDEX(Produits!$E$5:$E$204,MATCH($B813,Produits!$A$5:$A$204,0)),""),"")</f>
        <v/>
      </c>
      <c r="I813" s="23"/>
    </row>
    <row r="814" customFormat="false" ht="15" hidden="false" customHeight="false" outlineLevel="0" collapsed="false">
      <c r="A814" s="27"/>
      <c r="B814" s="23"/>
      <c r="C814" s="26" t="str">
        <f aca="false">IF($B814="","",IFERROR(INDEX(Produits!$B$5:$B$204,MATCH($B814,Produits!$A$5:$A$204,0)),"Code inconnu"))</f>
        <v/>
      </c>
      <c r="D814" s="23"/>
      <c r="E814" s="24"/>
      <c r="F814" s="21" t="str">
        <f aca="false">IF(OR($B814="",$D814=""),"",IFERROR(IF($D814="Entrée",INDEX(Produits!$E$5:$E$204,MATCH($B814,Produits!$A$5:$A$204,0)),INDEX(Produits!$F$5:$F$204,MATCH($B814,Produits!$A$5:$A$204,0))),""))</f>
        <v/>
      </c>
      <c r="G814" s="21" t="str">
        <f aca="false">IF(OR($F814="",$E814=""),"",$E814*$F814)</f>
        <v/>
      </c>
      <c r="H814" s="21" t="str">
        <f aca="false">IF(AND($D814="Sortie",$B814&lt;&gt;"",$E814&lt;&gt;""),IFERROR($E814*INDEX(Produits!$E$5:$E$204,MATCH($B814,Produits!$A$5:$A$204,0)),""),"")</f>
        <v/>
      </c>
      <c r="I814" s="23"/>
    </row>
    <row r="815" customFormat="false" ht="15" hidden="false" customHeight="false" outlineLevel="0" collapsed="false">
      <c r="A815" s="27"/>
      <c r="B815" s="23"/>
      <c r="C815" s="26" t="str">
        <f aca="false">IF($B815="","",IFERROR(INDEX(Produits!$B$5:$B$204,MATCH($B815,Produits!$A$5:$A$204,0)),"Code inconnu"))</f>
        <v/>
      </c>
      <c r="D815" s="23"/>
      <c r="E815" s="24"/>
      <c r="F815" s="21" t="str">
        <f aca="false">IF(OR($B815="",$D815=""),"",IFERROR(IF($D815="Entrée",INDEX(Produits!$E$5:$E$204,MATCH($B815,Produits!$A$5:$A$204,0)),INDEX(Produits!$F$5:$F$204,MATCH($B815,Produits!$A$5:$A$204,0))),""))</f>
        <v/>
      </c>
      <c r="G815" s="21" t="str">
        <f aca="false">IF(OR($F815="",$E815=""),"",$E815*$F815)</f>
        <v/>
      </c>
      <c r="H815" s="21" t="str">
        <f aca="false">IF(AND($D815="Sortie",$B815&lt;&gt;"",$E815&lt;&gt;""),IFERROR($E815*INDEX(Produits!$E$5:$E$204,MATCH($B815,Produits!$A$5:$A$204,0)),""),"")</f>
        <v/>
      </c>
      <c r="I815" s="23"/>
    </row>
    <row r="816" customFormat="false" ht="15" hidden="false" customHeight="false" outlineLevel="0" collapsed="false">
      <c r="A816" s="27"/>
      <c r="B816" s="23"/>
      <c r="C816" s="26" t="str">
        <f aca="false">IF($B816="","",IFERROR(INDEX(Produits!$B$5:$B$204,MATCH($B816,Produits!$A$5:$A$204,0)),"Code inconnu"))</f>
        <v/>
      </c>
      <c r="D816" s="23"/>
      <c r="E816" s="24"/>
      <c r="F816" s="21" t="str">
        <f aca="false">IF(OR($B816="",$D816=""),"",IFERROR(IF($D816="Entrée",INDEX(Produits!$E$5:$E$204,MATCH($B816,Produits!$A$5:$A$204,0)),INDEX(Produits!$F$5:$F$204,MATCH($B816,Produits!$A$5:$A$204,0))),""))</f>
        <v/>
      </c>
      <c r="G816" s="21" t="str">
        <f aca="false">IF(OR($F816="",$E816=""),"",$E816*$F816)</f>
        <v/>
      </c>
      <c r="H816" s="21" t="str">
        <f aca="false">IF(AND($D816="Sortie",$B816&lt;&gt;"",$E816&lt;&gt;""),IFERROR($E816*INDEX(Produits!$E$5:$E$204,MATCH($B816,Produits!$A$5:$A$204,0)),""),"")</f>
        <v/>
      </c>
      <c r="I816" s="23"/>
    </row>
    <row r="817" customFormat="false" ht="15" hidden="false" customHeight="false" outlineLevel="0" collapsed="false">
      <c r="A817" s="27"/>
      <c r="B817" s="23"/>
      <c r="C817" s="26" t="str">
        <f aca="false">IF($B817="","",IFERROR(INDEX(Produits!$B$5:$B$204,MATCH($B817,Produits!$A$5:$A$204,0)),"Code inconnu"))</f>
        <v/>
      </c>
      <c r="D817" s="23"/>
      <c r="E817" s="24"/>
      <c r="F817" s="21" t="str">
        <f aca="false">IF(OR($B817="",$D817=""),"",IFERROR(IF($D817="Entrée",INDEX(Produits!$E$5:$E$204,MATCH($B817,Produits!$A$5:$A$204,0)),INDEX(Produits!$F$5:$F$204,MATCH($B817,Produits!$A$5:$A$204,0))),""))</f>
        <v/>
      </c>
      <c r="G817" s="21" t="str">
        <f aca="false">IF(OR($F817="",$E817=""),"",$E817*$F817)</f>
        <v/>
      </c>
      <c r="H817" s="21" t="str">
        <f aca="false">IF(AND($D817="Sortie",$B817&lt;&gt;"",$E817&lt;&gt;""),IFERROR($E817*INDEX(Produits!$E$5:$E$204,MATCH($B817,Produits!$A$5:$A$204,0)),""),"")</f>
        <v/>
      </c>
      <c r="I817" s="23"/>
    </row>
    <row r="818" customFormat="false" ht="15" hidden="false" customHeight="false" outlineLevel="0" collapsed="false">
      <c r="A818" s="27"/>
      <c r="B818" s="23"/>
      <c r="C818" s="26" t="str">
        <f aca="false">IF($B818="","",IFERROR(INDEX(Produits!$B$5:$B$204,MATCH($B818,Produits!$A$5:$A$204,0)),"Code inconnu"))</f>
        <v/>
      </c>
      <c r="D818" s="23"/>
      <c r="E818" s="24"/>
      <c r="F818" s="21" t="str">
        <f aca="false">IF(OR($B818="",$D818=""),"",IFERROR(IF($D818="Entrée",INDEX(Produits!$E$5:$E$204,MATCH($B818,Produits!$A$5:$A$204,0)),INDEX(Produits!$F$5:$F$204,MATCH($B818,Produits!$A$5:$A$204,0))),""))</f>
        <v/>
      </c>
      <c r="G818" s="21" t="str">
        <f aca="false">IF(OR($F818="",$E818=""),"",$E818*$F818)</f>
        <v/>
      </c>
      <c r="H818" s="21" t="str">
        <f aca="false">IF(AND($D818="Sortie",$B818&lt;&gt;"",$E818&lt;&gt;""),IFERROR($E818*INDEX(Produits!$E$5:$E$204,MATCH($B818,Produits!$A$5:$A$204,0)),""),"")</f>
        <v/>
      </c>
      <c r="I818" s="23"/>
    </row>
    <row r="819" customFormat="false" ht="15" hidden="false" customHeight="false" outlineLevel="0" collapsed="false">
      <c r="A819" s="27"/>
      <c r="B819" s="23"/>
      <c r="C819" s="26" t="str">
        <f aca="false">IF($B819="","",IFERROR(INDEX(Produits!$B$5:$B$204,MATCH($B819,Produits!$A$5:$A$204,0)),"Code inconnu"))</f>
        <v/>
      </c>
      <c r="D819" s="23"/>
      <c r="E819" s="24"/>
      <c r="F819" s="21" t="str">
        <f aca="false">IF(OR($B819="",$D819=""),"",IFERROR(IF($D819="Entrée",INDEX(Produits!$E$5:$E$204,MATCH($B819,Produits!$A$5:$A$204,0)),INDEX(Produits!$F$5:$F$204,MATCH($B819,Produits!$A$5:$A$204,0))),""))</f>
        <v/>
      </c>
      <c r="G819" s="21" t="str">
        <f aca="false">IF(OR($F819="",$E819=""),"",$E819*$F819)</f>
        <v/>
      </c>
      <c r="H819" s="21" t="str">
        <f aca="false">IF(AND($D819="Sortie",$B819&lt;&gt;"",$E819&lt;&gt;""),IFERROR($E819*INDEX(Produits!$E$5:$E$204,MATCH($B819,Produits!$A$5:$A$204,0)),""),"")</f>
        <v/>
      </c>
      <c r="I819" s="23"/>
    </row>
    <row r="820" customFormat="false" ht="15" hidden="false" customHeight="false" outlineLevel="0" collapsed="false">
      <c r="A820" s="27"/>
      <c r="B820" s="23"/>
      <c r="C820" s="26" t="str">
        <f aca="false">IF($B820="","",IFERROR(INDEX(Produits!$B$5:$B$204,MATCH($B820,Produits!$A$5:$A$204,0)),"Code inconnu"))</f>
        <v/>
      </c>
      <c r="D820" s="23"/>
      <c r="E820" s="24"/>
      <c r="F820" s="21" t="str">
        <f aca="false">IF(OR($B820="",$D820=""),"",IFERROR(IF($D820="Entrée",INDEX(Produits!$E$5:$E$204,MATCH($B820,Produits!$A$5:$A$204,0)),INDEX(Produits!$F$5:$F$204,MATCH($B820,Produits!$A$5:$A$204,0))),""))</f>
        <v/>
      </c>
      <c r="G820" s="21" t="str">
        <f aca="false">IF(OR($F820="",$E820=""),"",$E820*$F820)</f>
        <v/>
      </c>
      <c r="H820" s="21" t="str">
        <f aca="false">IF(AND($D820="Sortie",$B820&lt;&gt;"",$E820&lt;&gt;""),IFERROR($E820*INDEX(Produits!$E$5:$E$204,MATCH($B820,Produits!$A$5:$A$204,0)),""),"")</f>
        <v/>
      </c>
      <c r="I820" s="23"/>
    </row>
    <row r="821" customFormat="false" ht="15" hidden="false" customHeight="false" outlineLevel="0" collapsed="false">
      <c r="A821" s="27"/>
      <c r="B821" s="23"/>
      <c r="C821" s="26" t="str">
        <f aca="false">IF($B821="","",IFERROR(INDEX(Produits!$B$5:$B$204,MATCH($B821,Produits!$A$5:$A$204,0)),"Code inconnu"))</f>
        <v/>
      </c>
      <c r="D821" s="23"/>
      <c r="E821" s="24"/>
      <c r="F821" s="21" t="str">
        <f aca="false">IF(OR($B821="",$D821=""),"",IFERROR(IF($D821="Entrée",INDEX(Produits!$E$5:$E$204,MATCH($B821,Produits!$A$5:$A$204,0)),INDEX(Produits!$F$5:$F$204,MATCH($B821,Produits!$A$5:$A$204,0))),""))</f>
        <v/>
      </c>
      <c r="G821" s="21" t="str">
        <f aca="false">IF(OR($F821="",$E821=""),"",$E821*$F821)</f>
        <v/>
      </c>
      <c r="H821" s="21" t="str">
        <f aca="false">IF(AND($D821="Sortie",$B821&lt;&gt;"",$E821&lt;&gt;""),IFERROR($E821*INDEX(Produits!$E$5:$E$204,MATCH($B821,Produits!$A$5:$A$204,0)),""),"")</f>
        <v/>
      </c>
      <c r="I821" s="23"/>
    </row>
    <row r="822" customFormat="false" ht="15" hidden="false" customHeight="false" outlineLevel="0" collapsed="false">
      <c r="A822" s="27"/>
      <c r="B822" s="23"/>
      <c r="C822" s="26" t="str">
        <f aca="false">IF($B822="","",IFERROR(INDEX(Produits!$B$5:$B$204,MATCH($B822,Produits!$A$5:$A$204,0)),"Code inconnu"))</f>
        <v/>
      </c>
      <c r="D822" s="23"/>
      <c r="E822" s="24"/>
      <c r="F822" s="21" t="str">
        <f aca="false">IF(OR($B822="",$D822=""),"",IFERROR(IF($D822="Entrée",INDEX(Produits!$E$5:$E$204,MATCH($B822,Produits!$A$5:$A$204,0)),INDEX(Produits!$F$5:$F$204,MATCH($B822,Produits!$A$5:$A$204,0))),""))</f>
        <v/>
      </c>
      <c r="G822" s="21" t="str">
        <f aca="false">IF(OR($F822="",$E822=""),"",$E822*$F822)</f>
        <v/>
      </c>
      <c r="H822" s="21" t="str">
        <f aca="false">IF(AND($D822="Sortie",$B822&lt;&gt;"",$E822&lt;&gt;""),IFERROR($E822*INDEX(Produits!$E$5:$E$204,MATCH($B822,Produits!$A$5:$A$204,0)),""),"")</f>
        <v/>
      </c>
      <c r="I822" s="23"/>
    </row>
    <row r="823" customFormat="false" ht="15" hidden="false" customHeight="false" outlineLevel="0" collapsed="false">
      <c r="A823" s="27"/>
      <c r="B823" s="23"/>
      <c r="C823" s="26" t="str">
        <f aca="false">IF($B823="","",IFERROR(INDEX(Produits!$B$5:$B$204,MATCH($B823,Produits!$A$5:$A$204,0)),"Code inconnu"))</f>
        <v/>
      </c>
      <c r="D823" s="23"/>
      <c r="E823" s="24"/>
      <c r="F823" s="21" t="str">
        <f aca="false">IF(OR($B823="",$D823=""),"",IFERROR(IF($D823="Entrée",INDEX(Produits!$E$5:$E$204,MATCH($B823,Produits!$A$5:$A$204,0)),INDEX(Produits!$F$5:$F$204,MATCH($B823,Produits!$A$5:$A$204,0))),""))</f>
        <v/>
      </c>
      <c r="G823" s="21" t="str">
        <f aca="false">IF(OR($F823="",$E823=""),"",$E823*$F823)</f>
        <v/>
      </c>
      <c r="H823" s="21" t="str">
        <f aca="false">IF(AND($D823="Sortie",$B823&lt;&gt;"",$E823&lt;&gt;""),IFERROR($E823*INDEX(Produits!$E$5:$E$204,MATCH($B823,Produits!$A$5:$A$204,0)),""),"")</f>
        <v/>
      </c>
      <c r="I823" s="23"/>
    </row>
    <row r="824" customFormat="false" ht="15" hidden="false" customHeight="false" outlineLevel="0" collapsed="false">
      <c r="A824" s="27"/>
      <c r="B824" s="23"/>
      <c r="C824" s="26" t="str">
        <f aca="false">IF($B824="","",IFERROR(INDEX(Produits!$B$5:$B$204,MATCH($B824,Produits!$A$5:$A$204,0)),"Code inconnu"))</f>
        <v/>
      </c>
      <c r="D824" s="23"/>
      <c r="E824" s="24"/>
      <c r="F824" s="21" t="str">
        <f aca="false">IF(OR($B824="",$D824=""),"",IFERROR(IF($D824="Entrée",INDEX(Produits!$E$5:$E$204,MATCH($B824,Produits!$A$5:$A$204,0)),INDEX(Produits!$F$5:$F$204,MATCH($B824,Produits!$A$5:$A$204,0))),""))</f>
        <v/>
      </c>
      <c r="G824" s="21" t="str">
        <f aca="false">IF(OR($F824="",$E824=""),"",$E824*$F824)</f>
        <v/>
      </c>
      <c r="H824" s="21" t="str">
        <f aca="false">IF(AND($D824="Sortie",$B824&lt;&gt;"",$E824&lt;&gt;""),IFERROR($E824*INDEX(Produits!$E$5:$E$204,MATCH($B824,Produits!$A$5:$A$204,0)),""),"")</f>
        <v/>
      </c>
      <c r="I824" s="23"/>
    </row>
    <row r="825" customFormat="false" ht="15" hidden="false" customHeight="false" outlineLevel="0" collapsed="false">
      <c r="A825" s="27"/>
      <c r="B825" s="23"/>
      <c r="C825" s="26" t="str">
        <f aca="false">IF($B825="","",IFERROR(INDEX(Produits!$B$5:$B$204,MATCH($B825,Produits!$A$5:$A$204,0)),"Code inconnu"))</f>
        <v/>
      </c>
      <c r="D825" s="23"/>
      <c r="E825" s="24"/>
      <c r="F825" s="21" t="str">
        <f aca="false">IF(OR($B825="",$D825=""),"",IFERROR(IF($D825="Entrée",INDEX(Produits!$E$5:$E$204,MATCH($B825,Produits!$A$5:$A$204,0)),INDEX(Produits!$F$5:$F$204,MATCH($B825,Produits!$A$5:$A$204,0))),""))</f>
        <v/>
      </c>
      <c r="G825" s="21" t="str">
        <f aca="false">IF(OR($F825="",$E825=""),"",$E825*$F825)</f>
        <v/>
      </c>
      <c r="H825" s="21" t="str">
        <f aca="false">IF(AND($D825="Sortie",$B825&lt;&gt;"",$E825&lt;&gt;""),IFERROR($E825*INDEX(Produits!$E$5:$E$204,MATCH($B825,Produits!$A$5:$A$204,0)),""),"")</f>
        <v/>
      </c>
      <c r="I825" s="23"/>
    </row>
    <row r="826" customFormat="false" ht="15" hidden="false" customHeight="false" outlineLevel="0" collapsed="false">
      <c r="A826" s="27"/>
      <c r="B826" s="23"/>
      <c r="C826" s="26" t="str">
        <f aca="false">IF($B826="","",IFERROR(INDEX(Produits!$B$5:$B$204,MATCH($B826,Produits!$A$5:$A$204,0)),"Code inconnu"))</f>
        <v/>
      </c>
      <c r="D826" s="23"/>
      <c r="E826" s="24"/>
      <c r="F826" s="21" t="str">
        <f aca="false">IF(OR($B826="",$D826=""),"",IFERROR(IF($D826="Entrée",INDEX(Produits!$E$5:$E$204,MATCH($B826,Produits!$A$5:$A$204,0)),INDEX(Produits!$F$5:$F$204,MATCH($B826,Produits!$A$5:$A$204,0))),""))</f>
        <v/>
      </c>
      <c r="G826" s="21" t="str">
        <f aca="false">IF(OR($F826="",$E826=""),"",$E826*$F826)</f>
        <v/>
      </c>
      <c r="H826" s="21" t="str">
        <f aca="false">IF(AND($D826="Sortie",$B826&lt;&gt;"",$E826&lt;&gt;""),IFERROR($E826*INDEX(Produits!$E$5:$E$204,MATCH($B826,Produits!$A$5:$A$204,0)),""),"")</f>
        <v/>
      </c>
      <c r="I826" s="23"/>
    </row>
    <row r="827" customFormat="false" ht="15" hidden="false" customHeight="false" outlineLevel="0" collapsed="false">
      <c r="A827" s="27"/>
      <c r="B827" s="23"/>
      <c r="C827" s="26" t="str">
        <f aca="false">IF($B827="","",IFERROR(INDEX(Produits!$B$5:$B$204,MATCH($B827,Produits!$A$5:$A$204,0)),"Code inconnu"))</f>
        <v/>
      </c>
      <c r="D827" s="23"/>
      <c r="E827" s="24"/>
      <c r="F827" s="21" t="str">
        <f aca="false">IF(OR($B827="",$D827=""),"",IFERROR(IF($D827="Entrée",INDEX(Produits!$E$5:$E$204,MATCH($B827,Produits!$A$5:$A$204,0)),INDEX(Produits!$F$5:$F$204,MATCH($B827,Produits!$A$5:$A$204,0))),""))</f>
        <v/>
      </c>
      <c r="G827" s="21" t="str">
        <f aca="false">IF(OR($F827="",$E827=""),"",$E827*$F827)</f>
        <v/>
      </c>
      <c r="H827" s="21" t="str">
        <f aca="false">IF(AND($D827="Sortie",$B827&lt;&gt;"",$E827&lt;&gt;""),IFERROR($E827*INDEX(Produits!$E$5:$E$204,MATCH($B827,Produits!$A$5:$A$204,0)),""),"")</f>
        <v/>
      </c>
      <c r="I827" s="23"/>
    </row>
    <row r="828" customFormat="false" ht="15" hidden="false" customHeight="false" outlineLevel="0" collapsed="false">
      <c r="A828" s="27"/>
      <c r="B828" s="23"/>
      <c r="C828" s="26" t="str">
        <f aca="false">IF($B828="","",IFERROR(INDEX(Produits!$B$5:$B$204,MATCH($B828,Produits!$A$5:$A$204,0)),"Code inconnu"))</f>
        <v/>
      </c>
      <c r="D828" s="23"/>
      <c r="E828" s="24"/>
      <c r="F828" s="21" t="str">
        <f aca="false">IF(OR($B828="",$D828=""),"",IFERROR(IF($D828="Entrée",INDEX(Produits!$E$5:$E$204,MATCH($B828,Produits!$A$5:$A$204,0)),INDEX(Produits!$F$5:$F$204,MATCH($B828,Produits!$A$5:$A$204,0))),""))</f>
        <v/>
      </c>
      <c r="G828" s="21" t="str">
        <f aca="false">IF(OR($F828="",$E828=""),"",$E828*$F828)</f>
        <v/>
      </c>
      <c r="H828" s="21" t="str">
        <f aca="false">IF(AND($D828="Sortie",$B828&lt;&gt;"",$E828&lt;&gt;""),IFERROR($E828*INDEX(Produits!$E$5:$E$204,MATCH($B828,Produits!$A$5:$A$204,0)),""),"")</f>
        <v/>
      </c>
      <c r="I828" s="23"/>
    </row>
    <row r="829" customFormat="false" ht="15" hidden="false" customHeight="false" outlineLevel="0" collapsed="false">
      <c r="A829" s="27"/>
      <c r="B829" s="23"/>
      <c r="C829" s="26" t="str">
        <f aca="false">IF($B829="","",IFERROR(INDEX(Produits!$B$5:$B$204,MATCH($B829,Produits!$A$5:$A$204,0)),"Code inconnu"))</f>
        <v/>
      </c>
      <c r="D829" s="23"/>
      <c r="E829" s="24"/>
      <c r="F829" s="21" t="str">
        <f aca="false">IF(OR($B829="",$D829=""),"",IFERROR(IF($D829="Entrée",INDEX(Produits!$E$5:$E$204,MATCH($B829,Produits!$A$5:$A$204,0)),INDEX(Produits!$F$5:$F$204,MATCH($B829,Produits!$A$5:$A$204,0))),""))</f>
        <v/>
      </c>
      <c r="G829" s="21" t="str">
        <f aca="false">IF(OR($F829="",$E829=""),"",$E829*$F829)</f>
        <v/>
      </c>
      <c r="H829" s="21" t="str">
        <f aca="false">IF(AND($D829="Sortie",$B829&lt;&gt;"",$E829&lt;&gt;""),IFERROR($E829*INDEX(Produits!$E$5:$E$204,MATCH($B829,Produits!$A$5:$A$204,0)),""),"")</f>
        <v/>
      </c>
      <c r="I829" s="23"/>
    </row>
    <row r="830" customFormat="false" ht="15" hidden="false" customHeight="false" outlineLevel="0" collapsed="false">
      <c r="A830" s="27"/>
      <c r="B830" s="23"/>
      <c r="C830" s="26" t="str">
        <f aca="false">IF($B830="","",IFERROR(INDEX(Produits!$B$5:$B$204,MATCH($B830,Produits!$A$5:$A$204,0)),"Code inconnu"))</f>
        <v/>
      </c>
      <c r="D830" s="23"/>
      <c r="E830" s="24"/>
      <c r="F830" s="21" t="str">
        <f aca="false">IF(OR($B830="",$D830=""),"",IFERROR(IF($D830="Entrée",INDEX(Produits!$E$5:$E$204,MATCH($B830,Produits!$A$5:$A$204,0)),INDEX(Produits!$F$5:$F$204,MATCH($B830,Produits!$A$5:$A$204,0))),""))</f>
        <v/>
      </c>
      <c r="G830" s="21" t="str">
        <f aca="false">IF(OR($F830="",$E830=""),"",$E830*$F830)</f>
        <v/>
      </c>
      <c r="H830" s="21" t="str">
        <f aca="false">IF(AND($D830="Sortie",$B830&lt;&gt;"",$E830&lt;&gt;""),IFERROR($E830*INDEX(Produits!$E$5:$E$204,MATCH($B830,Produits!$A$5:$A$204,0)),""),"")</f>
        <v/>
      </c>
      <c r="I830" s="23"/>
    </row>
    <row r="831" customFormat="false" ht="15" hidden="false" customHeight="false" outlineLevel="0" collapsed="false">
      <c r="A831" s="27"/>
      <c r="B831" s="23"/>
      <c r="C831" s="26" t="str">
        <f aca="false">IF($B831="","",IFERROR(INDEX(Produits!$B$5:$B$204,MATCH($B831,Produits!$A$5:$A$204,0)),"Code inconnu"))</f>
        <v/>
      </c>
      <c r="D831" s="23"/>
      <c r="E831" s="24"/>
      <c r="F831" s="21" t="str">
        <f aca="false">IF(OR($B831="",$D831=""),"",IFERROR(IF($D831="Entrée",INDEX(Produits!$E$5:$E$204,MATCH($B831,Produits!$A$5:$A$204,0)),INDEX(Produits!$F$5:$F$204,MATCH($B831,Produits!$A$5:$A$204,0))),""))</f>
        <v/>
      </c>
      <c r="G831" s="21" t="str">
        <f aca="false">IF(OR($F831="",$E831=""),"",$E831*$F831)</f>
        <v/>
      </c>
      <c r="H831" s="21" t="str">
        <f aca="false">IF(AND($D831="Sortie",$B831&lt;&gt;"",$E831&lt;&gt;""),IFERROR($E831*INDEX(Produits!$E$5:$E$204,MATCH($B831,Produits!$A$5:$A$204,0)),""),"")</f>
        <v/>
      </c>
      <c r="I831" s="23"/>
    </row>
    <row r="832" customFormat="false" ht="15" hidden="false" customHeight="false" outlineLevel="0" collapsed="false">
      <c r="A832" s="27"/>
      <c r="B832" s="23"/>
      <c r="C832" s="26" t="str">
        <f aca="false">IF($B832="","",IFERROR(INDEX(Produits!$B$5:$B$204,MATCH($B832,Produits!$A$5:$A$204,0)),"Code inconnu"))</f>
        <v/>
      </c>
      <c r="D832" s="23"/>
      <c r="E832" s="24"/>
      <c r="F832" s="21" t="str">
        <f aca="false">IF(OR($B832="",$D832=""),"",IFERROR(IF($D832="Entrée",INDEX(Produits!$E$5:$E$204,MATCH($B832,Produits!$A$5:$A$204,0)),INDEX(Produits!$F$5:$F$204,MATCH($B832,Produits!$A$5:$A$204,0))),""))</f>
        <v/>
      </c>
      <c r="G832" s="21" t="str">
        <f aca="false">IF(OR($F832="",$E832=""),"",$E832*$F832)</f>
        <v/>
      </c>
      <c r="H832" s="21" t="str">
        <f aca="false">IF(AND($D832="Sortie",$B832&lt;&gt;"",$E832&lt;&gt;""),IFERROR($E832*INDEX(Produits!$E$5:$E$204,MATCH($B832,Produits!$A$5:$A$204,0)),""),"")</f>
        <v/>
      </c>
      <c r="I832" s="23"/>
    </row>
    <row r="833" customFormat="false" ht="15" hidden="false" customHeight="false" outlineLevel="0" collapsed="false">
      <c r="A833" s="27"/>
      <c r="B833" s="23"/>
      <c r="C833" s="26" t="str">
        <f aca="false">IF($B833="","",IFERROR(INDEX(Produits!$B$5:$B$204,MATCH($B833,Produits!$A$5:$A$204,0)),"Code inconnu"))</f>
        <v/>
      </c>
      <c r="D833" s="23"/>
      <c r="E833" s="24"/>
      <c r="F833" s="21" t="str">
        <f aca="false">IF(OR($B833="",$D833=""),"",IFERROR(IF($D833="Entrée",INDEX(Produits!$E$5:$E$204,MATCH($B833,Produits!$A$5:$A$204,0)),INDEX(Produits!$F$5:$F$204,MATCH($B833,Produits!$A$5:$A$204,0))),""))</f>
        <v/>
      </c>
      <c r="G833" s="21" t="str">
        <f aca="false">IF(OR($F833="",$E833=""),"",$E833*$F833)</f>
        <v/>
      </c>
      <c r="H833" s="21" t="str">
        <f aca="false">IF(AND($D833="Sortie",$B833&lt;&gt;"",$E833&lt;&gt;""),IFERROR($E833*INDEX(Produits!$E$5:$E$204,MATCH($B833,Produits!$A$5:$A$204,0)),""),"")</f>
        <v/>
      </c>
      <c r="I833" s="23"/>
    </row>
    <row r="834" customFormat="false" ht="15" hidden="false" customHeight="false" outlineLevel="0" collapsed="false">
      <c r="A834" s="27"/>
      <c r="B834" s="23"/>
      <c r="C834" s="26" t="str">
        <f aca="false">IF($B834="","",IFERROR(INDEX(Produits!$B$5:$B$204,MATCH($B834,Produits!$A$5:$A$204,0)),"Code inconnu"))</f>
        <v/>
      </c>
      <c r="D834" s="23"/>
      <c r="E834" s="24"/>
      <c r="F834" s="21" t="str">
        <f aca="false">IF(OR($B834="",$D834=""),"",IFERROR(IF($D834="Entrée",INDEX(Produits!$E$5:$E$204,MATCH($B834,Produits!$A$5:$A$204,0)),INDEX(Produits!$F$5:$F$204,MATCH($B834,Produits!$A$5:$A$204,0))),""))</f>
        <v/>
      </c>
      <c r="G834" s="21" t="str">
        <f aca="false">IF(OR($F834="",$E834=""),"",$E834*$F834)</f>
        <v/>
      </c>
      <c r="H834" s="21" t="str">
        <f aca="false">IF(AND($D834="Sortie",$B834&lt;&gt;"",$E834&lt;&gt;""),IFERROR($E834*INDEX(Produits!$E$5:$E$204,MATCH($B834,Produits!$A$5:$A$204,0)),""),"")</f>
        <v/>
      </c>
      <c r="I834" s="23"/>
    </row>
    <row r="835" customFormat="false" ht="15" hidden="false" customHeight="false" outlineLevel="0" collapsed="false">
      <c r="A835" s="27"/>
      <c r="B835" s="23"/>
      <c r="C835" s="26" t="str">
        <f aca="false">IF($B835="","",IFERROR(INDEX(Produits!$B$5:$B$204,MATCH($B835,Produits!$A$5:$A$204,0)),"Code inconnu"))</f>
        <v/>
      </c>
      <c r="D835" s="23"/>
      <c r="E835" s="24"/>
      <c r="F835" s="21" t="str">
        <f aca="false">IF(OR($B835="",$D835=""),"",IFERROR(IF($D835="Entrée",INDEX(Produits!$E$5:$E$204,MATCH($B835,Produits!$A$5:$A$204,0)),INDEX(Produits!$F$5:$F$204,MATCH($B835,Produits!$A$5:$A$204,0))),""))</f>
        <v/>
      </c>
      <c r="G835" s="21" t="str">
        <f aca="false">IF(OR($F835="",$E835=""),"",$E835*$F835)</f>
        <v/>
      </c>
      <c r="H835" s="21" t="str">
        <f aca="false">IF(AND($D835="Sortie",$B835&lt;&gt;"",$E835&lt;&gt;""),IFERROR($E835*INDEX(Produits!$E$5:$E$204,MATCH($B835,Produits!$A$5:$A$204,0)),""),"")</f>
        <v/>
      </c>
      <c r="I835" s="23"/>
    </row>
    <row r="836" customFormat="false" ht="15" hidden="false" customHeight="false" outlineLevel="0" collapsed="false">
      <c r="A836" s="27"/>
      <c r="B836" s="23"/>
      <c r="C836" s="26" t="str">
        <f aca="false">IF($B836="","",IFERROR(INDEX(Produits!$B$5:$B$204,MATCH($B836,Produits!$A$5:$A$204,0)),"Code inconnu"))</f>
        <v/>
      </c>
      <c r="D836" s="23"/>
      <c r="E836" s="24"/>
      <c r="F836" s="21" t="str">
        <f aca="false">IF(OR($B836="",$D836=""),"",IFERROR(IF($D836="Entrée",INDEX(Produits!$E$5:$E$204,MATCH($B836,Produits!$A$5:$A$204,0)),INDEX(Produits!$F$5:$F$204,MATCH($B836,Produits!$A$5:$A$204,0))),""))</f>
        <v/>
      </c>
      <c r="G836" s="21" t="str">
        <f aca="false">IF(OR($F836="",$E836=""),"",$E836*$F836)</f>
        <v/>
      </c>
      <c r="H836" s="21" t="str">
        <f aca="false">IF(AND($D836="Sortie",$B836&lt;&gt;"",$E836&lt;&gt;""),IFERROR($E836*INDEX(Produits!$E$5:$E$204,MATCH($B836,Produits!$A$5:$A$204,0)),""),"")</f>
        <v/>
      </c>
      <c r="I836" s="23"/>
    </row>
    <row r="837" customFormat="false" ht="15" hidden="false" customHeight="false" outlineLevel="0" collapsed="false">
      <c r="A837" s="27"/>
      <c r="B837" s="23"/>
      <c r="C837" s="26" t="str">
        <f aca="false">IF($B837="","",IFERROR(INDEX(Produits!$B$5:$B$204,MATCH($B837,Produits!$A$5:$A$204,0)),"Code inconnu"))</f>
        <v/>
      </c>
      <c r="D837" s="23"/>
      <c r="E837" s="24"/>
      <c r="F837" s="21" t="str">
        <f aca="false">IF(OR($B837="",$D837=""),"",IFERROR(IF($D837="Entrée",INDEX(Produits!$E$5:$E$204,MATCH($B837,Produits!$A$5:$A$204,0)),INDEX(Produits!$F$5:$F$204,MATCH($B837,Produits!$A$5:$A$204,0))),""))</f>
        <v/>
      </c>
      <c r="G837" s="21" t="str">
        <f aca="false">IF(OR($F837="",$E837=""),"",$E837*$F837)</f>
        <v/>
      </c>
      <c r="H837" s="21" t="str">
        <f aca="false">IF(AND($D837="Sortie",$B837&lt;&gt;"",$E837&lt;&gt;""),IFERROR($E837*INDEX(Produits!$E$5:$E$204,MATCH($B837,Produits!$A$5:$A$204,0)),""),"")</f>
        <v/>
      </c>
      <c r="I837" s="23"/>
    </row>
    <row r="838" customFormat="false" ht="15" hidden="false" customHeight="false" outlineLevel="0" collapsed="false">
      <c r="A838" s="27"/>
      <c r="B838" s="23"/>
      <c r="C838" s="26" t="str">
        <f aca="false">IF($B838="","",IFERROR(INDEX(Produits!$B$5:$B$204,MATCH($B838,Produits!$A$5:$A$204,0)),"Code inconnu"))</f>
        <v/>
      </c>
      <c r="D838" s="23"/>
      <c r="E838" s="24"/>
      <c r="F838" s="21" t="str">
        <f aca="false">IF(OR($B838="",$D838=""),"",IFERROR(IF($D838="Entrée",INDEX(Produits!$E$5:$E$204,MATCH($B838,Produits!$A$5:$A$204,0)),INDEX(Produits!$F$5:$F$204,MATCH($B838,Produits!$A$5:$A$204,0))),""))</f>
        <v/>
      </c>
      <c r="G838" s="21" t="str">
        <f aca="false">IF(OR($F838="",$E838=""),"",$E838*$F838)</f>
        <v/>
      </c>
      <c r="H838" s="21" t="str">
        <f aca="false">IF(AND($D838="Sortie",$B838&lt;&gt;"",$E838&lt;&gt;""),IFERROR($E838*INDEX(Produits!$E$5:$E$204,MATCH($B838,Produits!$A$5:$A$204,0)),""),"")</f>
        <v/>
      </c>
      <c r="I838" s="23"/>
    </row>
    <row r="839" customFormat="false" ht="15" hidden="false" customHeight="false" outlineLevel="0" collapsed="false">
      <c r="A839" s="27"/>
      <c r="B839" s="23"/>
      <c r="C839" s="26" t="str">
        <f aca="false">IF($B839="","",IFERROR(INDEX(Produits!$B$5:$B$204,MATCH($B839,Produits!$A$5:$A$204,0)),"Code inconnu"))</f>
        <v/>
      </c>
      <c r="D839" s="23"/>
      <c r="E839" s="24"/>
      <c r="F839" s="21" t="str">
        <f aca="false">IF(OR($B839="",$D839=""),"",IFERROR(IF($D839="Entrée",INDEX(Produits!$E$5:$E$204,MATCH($B839,Produits!$A$5:$A$204,0)),INDEX(Produits!$F$5:$F$204,MATCH($B839,Produits!$A$5:$A$204,0))),""))</f>
        <v/>
      </c>
      <c r="G839" s="21" t="str">
        <f aca="false">IF(OR($F839="",$E839=""),"",$E839*$F839)</f>
        <v/>
      </c>
      <c r="H839" s="21" t="str">
        <f aca="false">IF(AND($D839="Sortie",$B839&lt;&gt;"",$E839&lt;&gt;""),IFERROR($E839*INDEX(Produits!$E$5:$E$204,MATCH($B839,Produits!$A$5:$A$204,0)),""),"")</f>
        <v/>
      </c>
      <c r="I839" s="23"/>
    </row>
    <row r="840" customFormat="false" ht="15" hidden="false" customHeight="false" outlineLevel="0" collapsed="false">
      <c r="A840" s="27"/>
      <c r="B840" s="23"/>
      <c r="C840" s="26" t="str">
        <f aca="false">IF($B840="","",IFERROR(INDEX(Produits!$B$5:$B$204,MATCH($B840,Produits!$A$5:$A$204,0)),"Code inconnu"))</f>
        <v/>
      </c>
      <c r="D840" s="23"/>
      <c r="E840" s="24"/>
      <c r="F840" s="21" t="str">
        <f aca="false">IF(OR($B840="",$D840=""),"",IFERROR(IF($D840="Entrée",INDEX(Produits!$E$5:$E$204,MATCH($B840,Produits!$A$5:$A$204,0)),INDEX(Produits!$F$5:$F$204,MATCH($B840,Produits!$A$5:$A$204,0))),""))</f>
        <v/>
      </c>
      <c r="G840" s="21" t="str">
        <f aca="false">IF(OR($F840="",$E840=""),"",$E840*$F840)</f>
        <v/>
      </c>
      <c r="H840" s="21" t="str">
        <f aca="false">IF(AND($D840="Sortie",$B840&lt;&gt;"",$E840&lt;&gt;""),IFERROR($E840*INDEX(Produits!$E$5:$E$204,MATCH($B840,Produits!$A$5:$A$204,0)),""),"")</f>
        <v/>
      </c>
      <c r="I840" s="23"/>
    </row>
    <row r="841" customFormat="false" ht="15" hidden="false" customHeight="false" outlineLevel="0" collapsed="false">
      <c r="A841" s="27"/>
      <c r="B841" s="23"/>
      <c r="C841" s="26" t="str">
        <f aca="false">IF($B841="","",IFERROR(INDEX(Produits!$B$5:$B$204,MATCH($B841,Produits!$A$5:$A$204,0)),"Code inconnu"))</f>
        <v/>
      </c>
      <c r="D841" s="23"/>
      <c r="E841" s="24"/>
      <c r="F841" s="21" t="str">
        <f aca="false">IF(OR($B841="",$D841=""),"",IFERROR(IF($D841="Entrée",INDEX(Produits!$E$5:$E$204,MATCH($B841,Produits!$A$5:$A$204,0)),INDEX(Produits!$F$5:$F$204,MATCH($B841,Produits!$A$5:$A$204,0))),""))</f>
        <v/>
      </c>
      <c r="G841" s="21" t="str">
        <f aca="false">IF(OR($F841="",$E841=""),"",$E841*$F841)</f>
        <v/>
      </c>
      <c r="H841" s="21" t="str">
        <f aca="false">IF(AND($D841="Sortie",$B841&lt;&gt;"",$E841&lt;&gt;""),IFERROR($E841*INDEX(Produits!$E$5:$E$204,MATCH($B841,Produits!$A$5:$A$204,0)),""),"")</f>
        <v/>
      </c>
      <c r="I841" s="23"/>
    </row>
    <row r="842" customFormat="false" ht="15" hidden="false" customHeight="false" outlineLevel="0" collapsed="false">
      <c r="A842" s="27"/>
      <c r="B842" s="23"/>
      <c r="C842" s="26" t="str">
        <f aca="false">IF($B842="","",IFERROR(INDEX(Produits!$B$5:$B$204,MATCH($B842,Produits!$A$5:$A$204,0)),"Code inconnu"))</f>
        <v/>
      </c>
      <c r="D842" s="23"/>
      <c r="E842" s="24"/>
      <c r="F842" s="21" t="str">
        <f aca="false">IF(OR($B842="",$D842=""),"",IFERROR(IF($D842="Entrée",INDEX(Produits!$E$5:$E$204,MATCH($B842,Produits!$A$5:$A$204,0)),INDEX(Produits!$F$5:$F$204,MATCH($B842,Produits!$A$5:$A$204,0))),""))</f>
        <v/>
      </c>
      <c r="G842" s="21" t="str">
        <f aca="false">IF(OR($F842="",$E842=""),"",$E842*$F842)</f>
        <v/>
      </c>
      <c r="H842" s="21" t="str">
        <f aca="false">IF(AND($D842="Sortie",$B842&lt;&gt;"",$E842&lt;&gt;""),IFERROR($E842*INDEX(Produits!$E$5:$E$204,MATCH($B842,Produits!$A$5:$A$204,0)),""),"")</f>
        <v/>
      </c>
      <c r="I842" s="23"/>
    </row>
    <row r="843" customFormat="false" ht="15" hidden="false" customHeight="false" outlineLevel="0" collapsed="false">
      <c r="A843" s="27"/>
      <c r="B843" s="23"/>
      <c r="C843" s="26" t="str">
        <f aca="false">IF($B843="","",IFERROR(INDEX(Produits!$B$5:$B$204,MATCH($B843,Produits!$A$5:$A$204,0)),"Code inconnu"))</f>
        <v/>
      </c>
      <c r="D843" s="23"/>
      <c r="E843" s="24"/>
      <c r="F843" s="21" t="str">
        <f aca="false">IF(OR($B843="",$D843=""),"",IFERROR(IF($D843="Entrée",INDEX(Produits!$E$5:$E$204,MATCH($B843,Produits!$A$5:$A$204,0)),INDEX(Produits!$F$5:$F$204,MATCH($B843,Produits!$A$5:$A$204,0))),""))</f>
        <v/>
      </c>
      <c r="G843" s="21" t="str">
        <f aca="false">IF(OR($F843="",$E843=""),"",$E843*$F843)</f>
        <v/>
      </c>
      <c r="H843" s="21" t="str">
        <f aca="false">IF(AND($D843="Sortie",$B843&lt;&gt;"",$E843&lt;&gt;""),IFERROR($E843*INDEX(Produits!$E$5:$E$204,MATCH($B843,Produits!$A$5:$A$204,0)),""),"")</f>
        <v/>
      </c>
      <c r="I843" s="23"/>
    </row>
    <row r="844" customFormat="false" ht="15" hidden="false" customHeight="false" outlineLevel="0" collapsed="false">
      <c r="A844" s="27"/>
      <c r="B844" s="23"/>
      <c r="C844" s="26" t="str">
        <f aca="false">IF($B844="","",IFERROR(INDEX(Produits!$B$5:$B$204,MATCH($B844,Produits!$A$5:$A$204,0)),"Code inconnu"))</f>
        <v/>
      </c>
      <c r="D844" s="23"/>
      <c r="E844" s="24"/>
      <c r="F844" s="21" t="str">
        <f aca="false">IF(OR($B844="",$D844=""),"",IFERROR(IF($D844="Entrée",INDEX(Produits!$E$5:$E$204,MATCH($B844,Produits!$A$5:$A$204,0)),INDEX(Produits!$F$5:$F$204,MATCH($B844,Produits!$A$5:$A$204,0))),""))</f>
        <v/>
      </c>
      <c r="G844" s="21" t="str">
        <f aca="false">IF(OR($F844="",$E844=""),"",$E844*$F844)</f>
        <v/>
      </c>
      <c r="H844" s="21" t="str">
        <f aca="false">IF(AND($D844="Sortie",$B844&lt;&gt;"",$E844&lt;&gt;""),IFERROR($E844*INDEX(Produits!$E$5:$E$204,MATCH($B844,Produits!$A$5:$A$204,0)),""),"")</f>
        <v/>
      </c>
      <c r="I844" s="23"/>
    </row>
    <row r="845" customFormat="false" ht="15" hidden="false" customHeight="false" outlineLevel="0" collapsed="false">
      <c r="A845" s="27"/>
      <c r="B845" s="23"/>
      <c r="C845" s="26" t="str">
        <f aca="false">IF($B845="","",IFERROR(INDEX(Produits!$B$5:$B$204,MATCH($B845,Produits!$A$5:$A$204,0)),"Code inconnu"))</f>
        <v/>
      </c>
      <c r="D845" s="23"/>
      <c r="E845" s="24"/>
      <c r="F845" s="21" t="str">
        <f aca="false">IF(OR($B845="",$D845=""),"",IFERROR(IF($D845="Entrée",INDEX(Produits!$E$5:$E$204,MATCH($B845,Produits!$A$5:$A$204,0)),INDEX(Produits!$F$5:$F$204,MATCH($B845,Produits!$A$5:$A$204,0))),""))</f>
        <v/>
      </c>
      <c r="G845" s="21" t="str">
        <f aca="false">IF(OR($F845="",$E845=""),"",$E845*$F845)</f>
        <v/>
      </c>
      <c r="H845" s="21" t="str">
        <f aca="false">IF(AND($D845="Sortie",$B845&lt;&gt;"",$E845&lt;&gt;""),IFERROR($E845*INDEX(Produits!$E$5:$E$204,MATCH($B845,Produits!$A$5:$A$204,0)),""),"")</f>
        <v/>
      </c>
      <c r="I845" s="23"/>
    </row>
    <row r="846" customFormat="false" ht="15" hidden="false" customHeight="false" outlineLevel="0" collapsed="false">
      <c r="A846" s="27"/>
      <c r="B846" s="23"/>
      <c r="C846" s="26" t="str">
        <f aca="false">IF($B846="","",IFERROR(INDEX(Produits!$B$5:$B$204,MATCH($B846,Produits!$A$5:$A$204,0)),"Code inconnu"))</f>
        <v/>
      </c>
      <c r="D846" s="23"/>
      <c r="E846" s="24"/>
      <c r="F846" s="21" t="str">
        <f aca="false">IF(OR($B846="",$D846=""),"",IFERROR(IF($D846="Entrée",INDEX(Produits!$E$5:$E$204,MATCH($B846,Produits!$A$5:$A$204,0)),INDEX(Produits!$F$5:$F$204,MATCH($B846,Produits!$A$5:$A$204,0))),""))</f>
        <v/>
      </c>
      <c r="G846" s="21" t="str">
        <f aca="false">IF(OR($F846="",$E846=""),"",$E846*$F846)</f>
        <v/>
      </c>
      <c r="H846" s="21" t="str">
        <f aca="false">IF(AND($D846="Sortie",$B846&lt;&gt;"",$E846&lt;&gt;""),IFERROR($E846*INDEX(Produits!$E$5:$E$204,MATCH($B846,Produits!$A$5:$A$204,0)),""),"")</f>
        <v/>
      </c>
      <c r="I846" s="23"/>
    </row>
    <row r="847" customFormat="false" ht="15" hidden="false" customHeight="false" outlineLevel="0" collapsed="false">
      <c r="A847" s="27"/>
      <c r="B847" s="23"/>
      <c r="C847" s="26" t="str">
        <f aca="false">IF($B847="","",IFERROR(INDEX(Produits!$B$5:$B$204,MATCH($B847,Produits!$A$5:$A$204,0)),"Code inconnu"))</f>
        <v/>
      </c>
      <c r="D847" s="23"/>
      <c r="E847" s="24"/>
      <c r="F847" s="21" t="str">
        <f aca="false">IF(OR($B847="",$D847=""),"",IFERROR(IF($D847="Entrée",INDEX(Produits!$E$5:$E$204,MATCH($B847,Produits!$A$5:$A$204,0)),INDEX(Produits!$F$5:$F$204,MATCH($B847,Produits!$A$5:$A$204,0))),""))</f>
        <v/>
      </c>
      <c r="G847" s="21" t="str">
        <f aca="false">IF(OR($F847="",$E847=""),"",$E847*$F847)</f>
        <v/>
      </c>
      <c r="H847" s="21" t="str">
        <f aca="false">IF(AND($D847="Sortie",$B847&lt;&gt;"",$E847&lt;&gt;""),IFERROR($E847*INDEX(Produits!$E$5:$E$204,MATCH($B847,Produits!$A$5:$A$204,0)),""),"")</f>
        <v/>
      </c>
      <c r="I847" s="23"/>
    </row>
    <row r="848" customFormat="false" ht="15" hidden="false" customHeight="false" outlineLevel="0" collapsed="false">
      <c r="A848" s="27"/>
      <c r="B848" s="23"/>
      <c r="C848" s="26" t="str">
        <f aca="false">IF($B848="","",IFERROR(INDEX(Produits!$B$5:$B$204,MATCH($B848,Produits!$A$5:$A$204,0)),"Code inconnu"))</f>
        <v/>
      </c>
      <c r="D848" s="23"/>
      <c r="E848" s="24"/>
      <c r="F848" s="21" t="str">
        <f aca="false">IF(OR($B848="",$D848=""),"",IFERROR(IF($D848="Entrée",INDEX(Produits!$E$5:$E$204,MATCH($B848,Produits!$A$5:$A$204,0)),INDEX(Produits!$F$5:$F$204,MATCH($B848,Produits!$A$5:$A$204,0))),""))</f>
        <v/>
      </c>
      <c r="G848" s="21" t="str">
        <f aca="false">IF(OR($F848="",$E848=""),"",$E848*$F848)</f>
        <v/>
      </c>
      <c r="H848" s="21" t="str">
        <f aca="false">IF(AND($D848="Sortie",$B848&lt;&gt;"",$E848&lt;&gt;""),IFERROR($E848*INDEX(Produits!$E$5:$E$204,MATCH($B848,Produits!$A$5:$A$204,0)),""),"")</f>
        <v/>
      </c>
      <c r="I848" s="23"/>
    </row>
    <row r="849" customFormat="false" ht="15" hidden="false" customHeight="false" outlineLevel="0" collapsed="false">
      <c r="A849" s="27"/>
      <c r="B849" s="23"/>
      <c r="C849" s="26" t="str">
        <f aca="false">IF($B849="","",IFERROR(INDEX(Produits!$B$5:$B$204,MATCH($B849,Produits!$A$5:$A$204,0)),"Code inconnu"))</f>
        <v/>
      </c>
      <c r="D849" s="23"/>
      <c r="E849" s="24"/>
      <c r="F849" s="21" t="str">
        <f aca="false">IF(OR($B849="",$D849=""),"",IFERROR(IF($D849="Entrée",INDEX(Produits!$E$5:$E$204,MATCH($B849,Produits!$A$5:$A$204,0)),INDEX(Produits!$F$5:$F$204,MATCH($B849,Produits!$A$5:$A$204,0))),""))</f>
        <v/>
      </c>
      <c r="G849" s="21" t="str">
        <f aca="false">IF(OR($F849="",$E849=""),"",$E849*$F849)</f>
        <v/>
      </c>
      <c r="H849" s="21" t="str">
        <f aca="false">IF(AND($D849="Sortie",$B849&lt;&gt;"",$E849&lt;&gt;""),IFERROR($E849*INDEX(Produits!$E$5:$E$204,MATCH($B849,Produits!$A$5:$A$204,0)),""),"")</f>
        <v/>
      </c>
      <c r="I849" s="23"/>
    </row>
    <row r="850" customFormat="false" ht="15" hidden="false" customHeight="false" outlineLevel="0" collapsed="false">
      <c r="A850" s="27"/>
      <c r="B850" s="23"/>
      <c r="C850" s="26" t="str">
        <f aca="false">IF($B850="","",IFERROR(INDEX(Produits!$B$5:$B$204,MATCH($B850,Produits!$A$5:$A$204,0)),"Code inconnu"))</f>
        <v/>
      </c>
      <c r="D850" s="23"/>
      <c r="E850" s="24"/>
      <c r="F850" s="21" t="str">
        <f aca="false">IF(OR($B850="",$D850=""),"",IFERROR(IF($D850="Entrée",INDEX(Produits!$E$5:$E$204,MATCH($B850,Produits!$A$5:$A$204,0)),INDEX(Produits!$F$5:$F$204,MATCH($B850,Produits!$A$5:$A$204,0))),""))</f>
        <v/>
      </c>
      <c r="G850" s="21" t="str">
        <f aca="false">IF(OR($F850="",$E850=""),"",$E850*$F850)</f>
        <v/>
      </c>
      <c r="H850" s="21" t="str">
        <f aca="false">IF(AND($D850="Sortie",$B850&lt;&gt;"",$E850&lt;&gt;""),IFERROR($E850*INDEX(Produits!$E$5:$E$204,MATCH($B850,Produits!$A$5:$A$204,0)),""),"")</f>
        <v/>
      </c>
      <c r="I850" s="23"/>
    </row>
    <row r="851" customFormat="false" ht="15" hidden="false" customHeight="false" outlineLevel="0" collapsed="false">
      <c r="A851" s="27"/>
      <c r="B851" s="23"/>
      <c r="C851" s="26" t="str">
        <f aca="false">IF($B851="","",IFERROR(INDEX(Produits!$B$5:$B$204,MATCH($B851,Produits!$A$5:$A$204,0)),"Code inconnu"))</f>
        <v/>
      </c>
      <c r="D851" s="23"/>
      <c r="E851" s="24"/>
      <c r="F851" s="21" t="str">
        <f aca="false">IF(OR($B851="",$D851=""),"",IFERROR(IF($D851="Entrée",INDEX(Produits!$E$5:$E$204,MATCH($B851,Produits!$A$5:$A$204,0)),INDEX(Produits!$F$5:$F$204,MATCH($B851,Produits!$A$5:$A$204,0))),""))</f>
        <v/>
      </c>
      <c r="G851" s="21" t="str">
        <f aca="false">IF(OR($F851="",$E851=""),"",$E851*$F851)</f>
        <v/>
      </c>
      <c r="H851" s="21" t="str">
        <f aca="false">IF(AND($D851="Sortie",$B851&lt;&gt;"",$E851&lt;&gt;""),IFERROR($E851*INDEX(Produits!$E$5:$E$204,MATCH($B851,Produits!$A$5:$A$204,0)),""),"")</f>
        <v/>
      </c>
      <c r="I851" s="23"/>
    </row>
    <row r="852" customFormat="false" ht="15" hidden="false" customHeight="false" outlineLevel="0" collapsed="false">
      <c r="A852" s="27"/>
      <c r="B852" s="23"/>
      <c r="C852" s="26" t="str">
        <f aca="false">IF($B852="","",IFERROR(INDEX(Produits!$B$5:$B$204,MATCH($B852,Produits!$A$5:$A$204,0)),"Code inconnu"))</f>
        <v/>
      </c>
      <c r="D852" s="23"/>
      <c r="E852" s="24"/>
      <c r="F852" s="21" t="str">
        <f aca="false">IF(OR($B852="",$D852=""),"",IFERROR(IF($D852="Entrée",INDEX(Produits!$E$5:$E$204,MATCH($B852,Produits!$A$5:$A$204,0)),INDEX(Produits!$F$5:$F$204,MATCH($B852,Produits!$A$5:$A$204,0))),""))</f>
        <v/>
      </c>
      <c r="G852" s="21" t="str">
        <f aca="false">IF(OR($F852="",$E852=""),"",$E852*$F852)</f>
        <v/>
      </c>
      <c r="H852" s="21" t="str">
        <f aca="false">IF(AND($D852="Sortie",$B852&lt;&gt;"",$E852&lt;&gt;""),IFERROR($E852*INDEX(Produits!$E$5:$E$204,MATCH($B852,Produits!$A$5:$A$204,0)),""),"")</f>
        <v/>
      </c>
      <c r="I852" s="23"/>
    </row>
    <row r="853" customFormat="false" ht="15" hidden="false" customHeight="false" outlineLevel="0" collapsed="false">
      <c r="A853" s="27"/>
      <c r="B853" s="23"/>
      <c r="C853" s="26" t="str">
        <f aca="false">IF($B853="","",IFERROR(INDEX(Produits!$B$5:$B$204,MATCH($B853,Produits!$A$5:$A$204,0)),"Code inconnu"))</f>
        <v/>
      </c>
      <c r="D853" s="23"/>
      <c r="E853" s="24"/>
      <c r="F853" s="21" t="str">
        <f aca="false">IF(OR($B853="",$D853=""),"",IFERROR(IF($D853="Entrée",INDEX(Produits!$E$5:$E$204,MATCH($B853,Produits!$A$5:$A$204,0)),INDEX(Produits!$F$5:$F$204,MATCH($B853,Produits!$A$5:$A$204,0))),""))</f>
        <v/>
      </c>
      <c r="G853" s="21" t="str">
        <f aca="false">IF(OR($F853="",$E853=""),"",$E853*$F853)</f>
        <v/>
      </c>
      <c r="H853" s="21" t="str">
        <f aca="false">IF(AND($D853="Sortie",$B853&lt;&gt;"",$E853&lt;&gt;""),IFERROR($E853*INDEX(Produits!$E$5:$E$204,MATCH($B853,Produits!$A$5:$A$204,0)),""),"")</f>
        <v/>
      </c>
      <c r="I853" s="23"/>
    </row>
    <row r="854" customFormat="false" ht="15" hidden="false" customHeight="false" outlineLevel="0" collapsed="false">
      <c r="A854" s="27"/>
      <c r="B854" s="23"/>
      <c r="C854" s="26" t="str">
        <f aca="false">IF($B854="","",IFERROR(INDEX(Produits!$B$5:$B$204,MATCH($B854,Produits!$A$5:$A$204,0)),"Code inconnu"))</f>
        <v/>
      </c>
      <c r="D854" s="23"/>
      <c r="E854" s="24"/>
      <c r="F854" s="21" t="str">
        <f aca="false">IF(OR($B854="",$D854=""),"",IFERROR(IF($D854="Entrée",INDEX(Produits!$E$5:$E$204,MATCH($B854,Produits!$A$5:$A$204,0)),INDEX(Produits!$F$5:$F$204,MATCH($B854,Produits!$A$5:$A$204,0))),""))</f>
        <v/>
      </c>
      <c r="G854" s="21" t="str">
        <f aca="false">IF(OR($F854="",$E854=""),"",$E854*$F854)</f>
        <v/>
      </c>
      <c r="H854" s="21" t="str">
        <f aca="false">IF(AND($D854="Sortie",$B854&lt;&gt;"",$E854&lt;&gt;""),IFERROR($E854*INDEX(Produits!$E$5:$E$204,MATCH($B854,Produits!$A$5:$A$204,0)),""),"")</f>
        <v/>
      </c>
      <c r="I854" s="23"/>
    </row>
    <row r="855" customFormat="false" ht="15" hidden="false" customHeight="false" outlineLevel="0" collapsed="false">
      <c r="A855" s="27"/>
      <c r="B855" s="23"/>
      <c r="C855" s="26" t="str">
        <f aca="false">IF($B855="","",IFERROR(INDEX(Produits!$B$5:$B$204,MATCH($B855,Produits!$A$5:$A$204,0)),"Code inconnu"))</f>
        <v/>
      </c>
      <c r="D855" s="23"/>
      <c r="E855" s="24"/>
      <c r="F855" s="21" t="str">
        <f aca="false">IF(OR($B855="",$D855=""),"",IFERROR(IF($D855="Entrée",INDEX(Produits!$E$5:$E$204,MATCH($B855,Produits!$A$5:$A$204,0)),INDEX(Produits!$F$5:$F$204,MATCH($B855,Produits!$A$5:$A$204,0))),""))</f>
        <v/>
      </c>
      <c r="G855" s="21" t="str">
        <f aca="false">IF(OR($F855="",$E855=""),"",$E855*$F855)</f>
        <v/>
      </c>
      <c r="H855" s="21" t="str">
        <f aca="false">IF(AND($D855="Sortie",$B855&lt;&gt;"",$E855&lt;&gt;""),IFERROR($E855*INDEX(Produits!$E$5:$E$204,MATCH($B855,Produits!$A$5:$A$204,0)),""),"")</f>
        <v/>
      </c>
      <c r="I855" s="23"/>
    </row>
    <row r="856" customFormat="false" ht="15" hidden="false" customHeight="false" outlineLevel="0" collapsed="false">
      <c r="A856" s="27"/>
      <c r="B856" s="23"/>
      <c r="C856" s="26" t="str">
        <f aca="false">IF($B856="","",IFERROR(INDEX(Produits!$B$5:$B$204,MATCH($B856,Produits!$A$5:$A$204,0)),"Code inconnu"))</f>
        <v/>
      </c>
      <c r="D856" s="23"/>
      <c r="E856" s="24"/>
      <c r="F856" s="21" t="str">
        <f aca="false">IF(OR($B856="",$D856=""),"",IFERROR(IF($D856="Entrée",INDEX(Produits!$E$5:$E$204,MATCH($B856,Produits!$A$5:$A$204,0)),INDEX(Produits!$F$5:$F$204,MATCH($B856,Produits!$A$5:$A$204,0))),""))</f>
        <v/>
      </c>
      <c r="G856" s="21" t="str">
        <f aca="false">IF(OR($F856="",$E856=""),"",$E856*$F856)</f>
        <v/>
      </c>
      <c r="H856" s="21" t="str">
        <f aca="false">IF(AND($D856="Sortie",$B856&lt;&gt;"",$E856&lt;&gt;""),IFERROR($E856*INDEX(Produits!$E$5:$E$204,MATCH($B856,Produits!$A$5:$A$204,0)),""),"")</f>
        <v/>
      </c>
      <c r="I856" s="23"/>
    </row>
    <row r="857" customFormat="false" ht="15" hidden="false" customHeight="false" outlineLevel="0" collapsed="false">
      <c r="A857" s="27"/>
      <c r="B857" s="23"/>
      <c r="C857" s="26" t="str">
        <f aca="false">IF($B857="","",IFERROR(INDEX(Produits!$B$5:$B$204,MATCH($B857,Produits!$A$5:$A$204,0)),"Code inconnu"))</f>
        <v/>
      </c>
      <c r="D857" s="23"/>
      <c r="E857" s="24"/>
      <c r="F857" s="21" t="str">
        <f aca="false">IF(OR($B857="",$D857=""),"",IFERROR(IF($D857="Entrée",INDEX(Produits!$E$5:$E$204,MATCH($B857,Produits!$A$5:$A$204,0)),INDEX(Produits!$F$5:$F$204,MATCH($B857,Produits!$A$5:$A$204,0))),""))</f>
        <v/>
      </c>
      <c r="G857" s="21" t="str">
        <f aca="false">IF(OR($F857="",$E857=""),"",$E857*$F857)</f>
        <v/>
      </c>
      <c r="H857" s="21" t="str">
        <f aca="false">IF(AND($D857="Sortie",$B857&lt;&gt;"",$E857&lt;&gt;""),IFERROR($E857*INDEX(Produits!$E$5:$E$204,MATCH($B857,Produits!$A$5:$A$204,0)),""),"")</f>
        <v/>
      </c>
      <c r="I857" s="23"/>
    </row>
    <row r="858" customFormat="false" ht="15" hidden="false" customHeight="false" outlineLevel="0" collapsed="false">
      <c r="A858" s="27"/>
      <c r="B858" s="23"/>
      <c r="C858" s="26" t="str">
        <f aca="false">IF($B858="","",IFERROR(INDEX(Produits!$B$5:$B$204,MATCH($B858,Produits!$A$5:$A$204,0)),"Code inconnu"))</f>
        <v/>
      </c>
      <c r="D858" s="23"/>
      <c r="E858" s="24"/>
      <c r="F858" s="21" t="str">
        <f aca="false">IF(OR($B858="",$D858=""),"",IFERROR(IF($D858="Entrée",INDEX(Produits!$E$5:$E$204,MATCH($B858,Produits!$A$5:$A$204,0)),INDEX(Produits!$F$5:$F$204,MATCH($B858,Produits!$A$5:$A$204,0))),""))</f>
        <v/>
      </c>
      <c r="G858" s="21" t="str">
        <f aca="false">IF(OR($F858="",$E858=""),"",$E858*$F858)</f>
        <v/>
      </c>
      <c r="H858" s="21" t="str">
        <f aca="false">IF(AND($D858="Sortie",$B858&lt;&gt;"",$E858&lt;&gt;""),IFERROR($E858*INDEX(Produits!$E$5:$E$204,MATCH($B858,Produits!$A$5:$A$204,0)),""),"")</f>
        <v/>
      </c>
      <c r="I858" s="23"/>
    </row>
    <row r="859" customFormat="false" ht="15" hidden="false" customHeight="false" outlineLevel="0" collapsed="false">
      <c r="A859" s="27"/>
      <c r="B859" s="23"/>
      <c r="C859" s="26" t="str">
        <f aca="false">IF($B859="","",IFERROR(INDEX(Produits!$B$5:$B$204,MATCH($B859,Produits!$A$5:$A$204,0)),"Code inconnu"))</f>
        <v/>
      </c>
      <c r="D859" s="23"/>
      <c r="E859" s="24"/>
      <c r="F859" s="21" t="str">
        <f aca="false">IF(OR($B859="",$D859=""),"",IFERROR(IF($D859="Entrée",INDEX(Produits!$E$5:$E$204,MATCH($B859,Produits!$A$5:$A$204,0)),INDEX(Produits!$F$5:$F$204,MATCH($B859,Produits!$A$5:$A$204,0))),""))</f>
        <v/>
      </c>
      <c r="G859" s="21" t="str">
        <f aca="false">IF(OR($F859="",$E859=""),"",$E859*$F859)</f>
        <v/>
      </c>
      <c r="H859" s="21" t="str">
        <f aca="false">IF(AND($D859="Sortie",$B859&lt;&gt;"",$E859&lt;&gt;""),IFERROR($E859*INDEX(Produits!$E$5:$E$204,MATCH($B859,Produits!$A$5:$A$204,0)),""),"")</f>
        <v/>
      </c>
      <c r="I859" s="23"/>
    </row>
    <row r="860" customFormat="false" ht="15" hidden="false" customHeight="false" outlineLevel="0" collapsed="false">
      <c r="A860" s="27"/>
      <c r="B860" s="23"/>
      <c r="C860" s="26" t="str">
        <f aca="false">IF($B860="","",IFERROR(INDEX(Produits!$B$5:$B$204,MATCH($B860,Produits!$A$5:$A$204,0)),"Code inconnu"))</f>
        <v/>
      </c>
      <c r="D860" s="23"/>
      <c r="E860" s="24"/>
      <c r="F860" s="21" t="str">
        <f aca="false">IF(OR($B860="",$D860=""),"",IFERROR(IF($D860="Entrée",INDEX(Produits!$E$5:$E$204,MATCH($B860,Produits!$A$5:$A$204,0)),INDEX(Produits!$F$5:$F$204,MATCH($B860,Produits!$A$5:$A$204,0))),""))</f>
        <v/>
      </c>
      <c r="G860" s="21" t="str">
        <f aca="false">IF(OR($F860="",$E860=""),"",$E860*$F860)</f>
        <v/>
      </c>
      <c r="H860" s="21" t="str">
        <f aca="false">IF(AND($D860="Sortie",$B860&lt;&gt;"",$E860&lt;&gt;""),IFERROR($E860*INDEX(Produits!$E$5:$E$204,MATCH($B860,Produits!$A$5:$A$204,0)),""),"")</f>
        <v/>
      </c>
      <c r="I860" s="23"/>
    </row>
    <row r="861" customFormat="false" ht="15" hidden="false" customHeight="false" outlineLevel="0" collapsed="false">
      <c r="A861" s="27"/>
      <c r="B861" s="23"/>
      <c r="C861" s="26" t="str">
        <f aca="false">IF($B861="","",IFERROR(INDEX(Produits!$B$5:$B$204,MATCH($B861,Produits!$A$5:$A$204,0)),"Code inconnu"))</f>
        <v/>
      </c>
      <c r="D861" s="23"/>
      <c r="E861" s="24"/>
      <c r="F861" s="21" t="str">
        <f aca="false">IF(OR($B861="",$D861=""),"",IFERROR(IF($D861="Entrée",INDEX(Produits!$E$5:$E$204,MATCH($B861,Produits!$A$5:$A$204,0)),INDEX(Produits!$F$5:$F$204,MATCH($B861,Produits!$A$5:$A$204,0))),""))</f>
        <v/>
      </c>
      <c r="G861" s="21" t="str">
        <f aca="false">IF(OR($F861="",$E861=""),"",$E861*$F861)</f>
        <v/>
      </c>
      <c r="H861" s="21" t="str">
        <f aca="false">IF(AND($D861="Sortie",$B861&lt;&gt;"",$E861&lt;&gt;""),IFERROR($E861*INDEX(Produits!$E$5:$E$204,MATCH($B861,Produits!$A$5:$A$204,0)),""),"")</f>
        <v/>
      </c>
      <c r="I861" s="23"/>
    </row>
    <row r="862" customFormat="false" ht="15" hidden="false" customHeight="false" outlineLevel="0" collapsed="false">
      <c r="A862" s="27"/>
      <c r="B862" s="23"/>
      <c r="C862" s="26" t="str">
        <f aca="false">IF($B862="","",IFERROR(INDEX(Produits!$B$5:$B$204,MATCH($B862,Produits!$A$5:$A$204,0)),"Code inconnu"))</f>
        <v/>
      </c>
      <c r="D862" s="23"/>
      <c r="E862" s="24"/>
      <c r="F862" s="21" t="str">
        <f aca="false">IF(OR($B862="",$D862=""),"",IFERROR(IF($D862="Entrée",INDEX(Produits!$E$5:$E$204,MATCH($B862,Produits!$A$5:$A$204,0)),INDEX(Produits!$F$5:$F$204,MATCH($B862,Produits!$A$5:$A$204,0))),""))</f>
        <v/>
      </c>
      <c r="G862" s="21" t="str">
        <f aca="false">IF(OR($F862="",$E862=""),"",$E862*$F862)</f>
        <v/>
      </c>
      <c r="H862" s="21" t="str">
        <f aca="false">IF(AND($D862="Sortie",$B862&lt;&gt;"",$E862&lt;&gt;""),IFERROR($E862*INDEX(Produits!$E$5:$E$204,MATCH($B862,Produits!$A$5:$A$204,0)),""),"")</f>
        <v/>
      </c>
      <c r="I862" s="23"/>
    </row>
    <row r="863" customFormat="false" ht="15" hidden="false" customHeight="false" outlineLevel="0" collapsed="false">
      <c r="A863" s="27"/>
      <c r="B863" s="23"/>
      <c r="C863" s="26" t="str">
        <f aca="false">IF($B863="","",IFERROR(INDEX(Produits!$B$5:$B$204,MATCH($B863,Produits!$A$5:$A$204,0)),"Code inconnu"))</f>
        <v/>
      </c>
      <c r="D863" s="23"/>
      <c r="E863" s="24"/>
      <c r="F863" s="21" t="str">
        <f aca="false">IF(OR($B863="",$D863=""),"",IFERROR(IF($D863="Entrée",INDEX(Produits!$E$5:$E$204,MATCH($B863,Produits!$A$5:$A$204,0)),INDEX(Produits!$F$5:$F$204,MATCH($B863,Produits!$A$5:$A$204,0))),""))</f>
        <v/>
      </c>
      <c r="G863" s="21" t="str">
        <f aca="false">IF(OR($F863="",$E863=""),"",$E863*$F863)</f>
        <v/>
      </c>
      <c r="H863" s="21" t="str">
        <f aca="false">IF(AND($D863="Sortie",$B863&lt;&gt;"",$E863&lt;&gt;""),IFERROR($E863*INDEX(Produits!$E$5:$E$204,MATCH($B863,Produits!$A$5:$A$204,0)),""),"")</f>
        <v/>
      </c>
      <c r="I863" s="23"/>
    </row>
    <row r="864" customFormat="false" ht="15" hidden="false" customHeight="false" outlineLevel="0" collapsed="false">
      <c r="A864" s="27"/>
      <c r="B864" s="23"/>
      <c r="C864" s="26" t="str">
        <f aca="false">IF($B864="","",IFERROR(INDEX(Produits!$B$5:$B$204,MATCH($B864,Produits!$A$5:$A$204,0)),"Code inconnu"))</f>
        <v/>
      </c>
      <c r="D864" s="23"/>
      <c r="E864" s="24"/>
      <c r="F864" s="21" t="str">
        <f aca="false">IF(OR($B864="",$D864=""),"",IFERROR(IF($D864="Entrée",INDEX(Produits!$E$5:$E$204,MATCH($B864,Produits!$A$5:$A$204,0)),INDEX(Produits!$F$5:$F$204,MATCH($B864,Produits!$A$5:$A$204,0))),""))</f>
        <v/>
      </c>
      <c r="G864" s="21" t="str">
        <f aca="false">IF(OR($F864="",$E864=""),"",$E864*$F864)</f>
        <v/>
      </c>
      <c r="H864" s="21" t="str">
        <f aca="false">IF(AND($D864="Sortie",$B864&lt;&gt;"",$E864&lt;&gt;""),IFERROR($E864*INDEX(Produits!$E$5:$E$204,MATCH($B864,Produits!$A$5:$A$204,0)),""),"")</f>
        <v/>
      </c>
      <c r="I864" s="23"/>
    </row>
    <row r="865" customFormat="false" ht="15" hidden="false" customHeight="false" outlineLevel="0" collapsed="false">
      <c r="A865" s="27"/>
      <c r="B865" s="23"/>
      <c r="C865" s="26" t="str">
        <f aca="false">IF($B865="","",IFERROR(INDEX(Produits!$B$5:$B$204,MATCH($B865,Produits!$A$5:$A$204,0)),"Code inconnu"))</f>
        <v/>
      </c>
      <c r="D865" s="23"/>
      <c r="E865" s="24"/>
      <c r="F865" s="21" t="str">
        <f aca="false">IF(OR($B865="",$D865=""),"",IFERROR(IF($D865="Entrée",INDEX(Produits!$E$5:$E$204,MATCH($B865,Produits!$A$5:$A$204,0)),INDEX(Produits!$F$5:$F$204,MATCH($B865,Produits!$A$5:$A$204,0))),""))</f>
        <v/>
      </c>
      <c r="G865" s="21" t="str">
        <f aca="false">IF(OR($F865="",$E865=""),"",$E865*$F865)</f>
        <v/>
      </c>
      <c r="H865" s="21" t="str">
        <f aca="false">IF(AND($D865="Sortie",$B865&lt;&gt;"",$E865&lt;&gt;""),IFERROR($E865*INDEX(Produits!$E$5:$E$204,MATCH($B865,Produits!$A$5:$A$204,0)),""),"")</f>
        <v/>
      </c>
      <c r="I865" s="23"/>
    </row>
    <row r="866" customFormat="false" ht="15" hidden="false" customHeight="false" outlineLevel="0" collapsed="false">
      <c r="A866" s="27"/>
      <c r="B866" s="23"/>
      <c r="C866" s="26" t="str">
        <f aca="false">IF($B866="","",IFERROR(INDEX(Produits!$B$5:$B$204,MATCH($B866,Produits!$A$5:$A$204,0)),"Code inconnu"))</f>
        <v/>
      </c>
      <c r="D866" s="23"/>
      <c r="E866" s="24"/>
      <c r="F866" s="21" t="str">
        <f aca="false">IF(OR($B866="",$D866=""),"",IFERROR(IF($D866="Entrée",INDEX(Produits!$E$5:$E$204,MATCH($B866,Produits!$A$5:$A$204,0)),INDEX(Produits!$F$5:$F$204,MATCH($B866,Produits!$A$5:$A$204,0))),""))</f>
        <v/>
      </c>
      <c r="G866" s="21" t="str">
        <f aca="false">IF(OR($F866="",$E866=""),"",$E866*$F866)</f>
        <v/>
      </c>
      <c r="H866" s="21" t="str">
        <f aca="false">IF(AND($D866="Sortie",$B866&lt;&gt;"",$E866&lt;&gt;""),IFERROR($E866*INDEX(Produits!$E$5:$E$204,MATCH($B866,Produits!$A$5:$A$204,0)),""),"")</f>
        <v/>
      </c>
      <c r="I866" s="23"/>
    </row>
    <row r="867" customFormat="false" ht="15" hidden="false" customHeight="false" outlineLevel="0" collapsed="false">
      <c r="A867" s="27"/>
      <c r="B867" s="23"/>
      <c r="C867" s="26" t="str">
        <f aca="false">IF($B867="","",IFERROR(INDEX(Produits!$B$5:$B$204,MATCH($B867,Produits!$A$5:$A$204,0)),"Code inconnu"))</f>
        <v/>
      </c>
      <c r="D867" s="23"/>
      <c r="E867" s="24"/>
      <c r="F867" s="21" t="str">
        <f aca="false">IF(OR($B867="",$D867=""),"",IFERROR(IF($D867="Entrée",INDEX(Produits!$E$5:$E$204,MATCH($B867,Produits!$A$5:$A$204,0)),INDEX(Produits!$F$5:$F$204,MATCH($B867,Produits!$A$5:$A$204,0))),""))</f>
        <v/>
      </c>
      <c r="G867" s="21" t="str">
        <f aca="false">IF(OR($F867="",$E867=""),"",$E867*$F867)</f>
        <v/>
      </c>
      <c r="H867" s="21" t="str">
        <f aca="false">IF(AND($D867="Sortie",$B867&lt;&gt;"",$E867&lt;&gt;""),IFERROR($E867*INDEX(Produits!$E$5:$E$204,MATCH($B867,Produits!$A$5:$A$204,0)),""),"")</f>
        <v/>
      </c>
      <c r="I867" s="23"/>
    </row>
    <row r="868" customFormat="false" ht="15" hidden="false" customHeight="false" outlineLevel="0" collapsed="false">
      <c r="A868" s="27"/>
      <c r="B868" s="23"/>
      <c r="C868" s="26" t="str">
        <f aca="false">IF($B868="","",IFERROR(INDEX(Produits!$B$5:$B$204,MATCH($B868,Produits!$A$5:$A$204,0)),"Code inconnu"))</f>
        <v/>
      </c>
      <c r="D868" s="23"/>
      <c r="E868" s="24"/>
      <c r="F868" s="21" t="str">
        <f aca="false">IF(OR($B868="",$D868=""),"",IFERROR(IF($D868="Entrée",INDEX(Produits!$E$5:$E$204,MATCH($B868,Produits!$A$5:$A$204,0)),INDEX(Produits!$F$5:$F$204,MATCH($B868,Produits!$A$5:$A$204,0))),""))</f>
        <v/>
      </c>
      <c r="G868" s="21" t="str">
        <f aca="false">IF(OR($F868="",$E868=""),"",$E868*$F868)</f>
        <v/>
      </c>
      <c r="H868" s="21" t="str">
        <f aca="false">IF(AND($D868="Sortie",$B868&lt;&gt;"",$E868&lt;&gt;""),IFERROR($E868*INDEX(Produits!$E$5:$E$204,MATCH($B868,Produits!$A$5:$A$204,0)),""),"")</f>
        <v/>
      </c>
      <c r="I868" s="23"/>
    </row>
    <row r="869" customFormat="false" ht="15" hidden="false" customHeight="false" outlineLevel="0" collapsed="false">
      <c r="A869" s="27"/>
      <c r="B869" s="23"/>
      <c r="C869" s="26" t="str">
        <f aca="false">IF($B869="","",IFERROR(INDEX(Produits!$B$5:$B$204,MATCH($B869,Produits!$A$5:$A$204,0)),"Code inconnu"))</f>
        <v/>
      </c>
      <c r="D869" s="23"/>
      <c r="E869" s="24"/>
      <c r="F869" s="21" t="str">
        <f aca="false">IF(OR($B869="",$D869=""),"",IFERROR(IF($D869="Entrée",INDEX(Produits!$E$5:$E$204,MATCH($B869,Produits!$A$5:$A$204,0)),INDEX(Produits!$F$5:$F$204,MATCH($B869,Produits!$A$5:$A$204,0))),""))</f>
        <v/>
      </c>
      <c r="G869" s="21" t="str">
        <f aca="false">IF(OR($F869="",$E869=""),"",$E869*$F869)</f>
        <v/>
      </c>
      <c r="H869" s="21" t="str">
        <f aca="false">IF(AND($D869="Sortie",$B869&lt;&gt;"",$E869&lt;&gt;""),IFERROR($E869*INDEX(Produits!$E$5:$E$204,MATCH($B869,Produits!$A$5:$A$204,0)),""),"")</f>
        <v/>
      </c>
      <c r="I869" s="23"/>
    </row>
    <row r="870" customFormat="false" ht="15" hidden="false" customHeight="false" outlineLevel="0" collapsed="false">
      <c r="A870" s="27"/>
      <c r="B870" s="23"/>
      <c r="C870" s="26" t="str">
        <f aca="false">IF($B870="","",IFERROR(INDEX(Produits!$B$5:$B$204,MATCH($B870,Produits!$A$5:$A$204,0)),"Code inconnu"))</f>
        <v/>
      </c>
      <c r="D870" s="23"/>
      <c r="E870" s="24"/>
      <c r="F870" s="21" t="str">
        <f aca="false">IF(OR($B870="",$D870=""),"",IFERROR(IF($D870="Entrée",INDEX(Produits!$E$5:$E$204,MATCH($B870,Produits!$A$5:$A$204,0)),INDEX(Produits!$F$5:$F$204,MATCH($B870,Produits!$A$5:$A$204,0))),""))</f>
        <v/>
      </c>
      <c r="G870" s="21" t="str">
        <f aca="false">IF(OR($F870="",$E870=""),"",$E870*$F870)</f>
        <v/>
      </c>
      <c r="H870" s="21" t="str">
        <f aca="false">IF(AND($D870="Sortie",$B870&lt;&gt;"",$E870&lt;&gt;""),IFERROR($E870*INDEX(Produits!$E$5:$E$204,MATCH($B870,Produits!$A$5:$A$204,0)),""),"")</f>
        <v/>
      </c>
      <c r="I870" s="23"/>
    </row>
    <row r="871" customFormat="false" ht="15" hidden="false" customHeight="false" outlineLevel="0" collapsed="false">
      <c r="A871" s="27"/>
      <c r="B871" s="23"/>
      <c r="C871" s="26" t="str">
        <f aca="false">IF($B871="","",IFERROR(INDEX(Produits!$B$5:$B$204,MATCH($B871,Produits!$A$5:$A$204,0)),"Code inconnu"))</f>
        <v/>
      </c>
      <c r="D871" s="23"/>
      <c r="E871" s="24"/>
      <c r="F871" s="21" t="str">
        <f aca="false">IF(OR($B871="",$D871=""),"",IFERROR(IF($D871="Entrée",INDEX(Produits!$E$5:$E$204,MATCH($B871,Produits!$A$5:$A$204,0)),INDEX(Produits!$F$5:$F$204,MATCH($B871,Produits!$A$5:$A$204,0))),""))</f>
        <v/>
      </c>
      <c r="G871" s="21" t="str">
        <f aca="false">IF(OR($F871="",$E871=""),"",$E871*$F871)</f>
        <v/>
      </c>
      <c r="H871" s="21" t="str">
        <f aca="false">IF(AND($D871="Sortie",$B871&lt;&gt;"",$E871&lt;&gt;""),IFERROR($E871*INDEX(Produits!$E$5:$E$204,MATCH($B871,Produits!$A$5:$A$204,0)),""),"")</f>
        <v/>
      </c>
      <c r="I871" s="23"/>
    </row>
    <row r="872" customFormat="false" ht="15" hidden="false" customHeight="false" outlineLevel="0" collapsed="false">
      <c r="A872" s="27"/>
      <c r="B872" s="23"/>
      <c r="C872" s="26" t="str">
        <f aca="false">IF($B872="","",IFERROR(INDEX(Produits!$B$5:$B$204,MATCH($B872,Produits!$A$5:$A$204,0)),"Code inconnu"))</f>
        <v/>
      </c>
      <c r="D872" s="23"/>
      <c r="E872" s="24"/>
      <c r="F872" s="21" t="str">
        <f aca="false">IF(OR($B872="",$D872=""),"",IFERROR(IF($D872="Entrée",INDEX(Produits!$E$5:$E$204,MATCH($B872,Produits!$A$5:$A$204,0)),INDEX(Produits!$F$5:$F$204,MATCH($B872,Produits!$A$5:$A$204,0))),""))</f>
        <v/>
      </c>
      <c r="G872" s="21" t="str">
        <f aca="false">IF(OR($F872="",$E872=""),"",$E872*$F872)</f>
        <v/>
      </c>
      <c r="H872" s="21" t="str">
        <f aca="false">IF(AND($D872="Sortie",$B872&lt;&gt;"",$E872&lt;&gt;""),IFERROR($E872*INDEX(Produits!$E$5:$E$204,MATCH($B872,Produits!$A$5:$A$204,0)),""),"")</f>
        <v/>
      </c>
      <c r="I872" s="23"/>
    </row>
    <row r="873" customFormat="false" ht="15" hidden="false" customHeight="false" outlineLevel="0" collapsed="false">
      <c r="A873" s="27"/>
      <c r="B873" s="23"/>
      <c r="C873" s="26" t="str">
        <f aca="false">IF($B873="","",IFERROR(INDEX(Produits!$B$5:$B$204,MATCH($B873,Produits!$A$5:$A$204,0)),"Code inconnu"))</f>
        <v/>
      </c>
      <c r="D873" s="23"/>
      <c r="E873" s="24"/>
      <c r="F873" s="21" t="str">
        <f aca="false">IF(OR($B873="",$D873=""),"",IFERROR(IF($D873="Entrée",INDEX(Produits!$E$5:$E$204,MATCH($B873,Produits!$A$5:$A$204,0)),INDEX(Produits!$F$5:$F$204,MATCH($B873,Produits!$A$5:$A$204,0))),""))</f>
        <v/>
      </c>
      <c r="G873" s="21" t="str">
        <f aca="false">IF(OR($F873="",$E873=""),"",$E873*$F873)</f>
        <v/>
      </c>
      <c r="H873" s="21" t="str">
        <f aca="false">IF(AND($D873="Sortie",$B873&lt;&gt;"",$E873&lt;&gt;""),IFERROR($E873*INDEX(Produits!$E$5:$E$204,MATCH($B873,Produits!$A$5:$A$204,0)),""),"")</f>
        <v/>
      </c>
      <c r="I873" s="23"/>
    </row>
    <row r="874" customFormat="false" ht="15" hidden="false" customHeight="false" outlineLevel="0" collapsed="false">
      <c r="A874" s="27"/>
      <c r="B874" s="23"/>
      <c r="C874" s="26" t="str">
        <f aca="false">IF($B874="","",IFERROR(INDEX(Produits!$B$5:$B$204,MATCH($B874,Produits!$A$5:$A$204,0)),"Code inconnu"))</f>
        <v/>
      </c>
      <c r="D874" s="23"/>
      <c r="E874" s="24"/>
      <c r="F874" s="21" t="str">
        <f aca="false">IF(OR($B874="",$D874=""),"",IFERROR(IF($D874="Entrée",INDEX(Produits!$E$5:$E$204,MATCH($B874,Produits!$A$5:$A$204,0)),INDEX(Produits!$F$5:$F$204,MATCH($B874,Produits!$A$5:$A$204,0))),""))</f>
        <v/>
      </c>
      <c r="G874" s="21" t="str">
        <f aca="false">IF(OR($F874="",$E874=""),"",$E874*$F874)</f>
        <v/>
      </c>
      <c r="H874" s="21" t="str">
        <f aca="false">IF(AND($D874="Sortie",$B874&lt;&gt;"",$E874&lt;&gt;""),IFERROR($E874*INDEX(Produits!$E$5:$E$204,MATCH($B874,Produits!$A$5:$A$204,0)),""),"")</f>
        <v/>
      </c>
      <c r="I874" s="23"/>
    </row>
    <row r="875" customFormat="false" ht="15" hidden="false" customHeight="false" outlineLevel="0" collapsed="false">
      <c r="A875" s="27"/>
      <c r="B875" s="23"/>
      <c r="C875" s="26" t="str">
        <f aca="false">IF($B875="","",IFERROR(INDEX(Produits!$B$5:$B$204,MATCH($B875,Produits!$A$5:$A$204,0)),"Code inconnu"))</f>
        <v/>
      </c>
      <c r="D875" s="23"/>
      <c r="E875" s="24"/>
      <c r="F875" s="21" t="str">
        <f aca="false">IF(OR($B875="",$D875=""),"",IFERROR(IF($D875="Entrée",INDEX(Produits!$E$5:$E$204,MATCH($B875,Produits!$A$5:$A$204,0)),INDEX(Produits!$F$5:$F$204,MATCH($B875,Produits!$A$5:$A$204,0))),""))</f>
        <v/>
      </c>
      <c r="G875" s="21" t="str">
        <f aca="false">IF(OR($F875="",$E875=""),"",$E875*$F875)</f>
        <v/>
      </c>
      <c r="H875" s="21" t="str">
        <f aca="false">IF(AND($D875="Sortie",$B875&lt;&gt;"",$E875&lt;&gt;""),IFERROR($E875*INDEX(Produits!$E$5:$E$204,MATCH($B875,Produits!$A$5:$A$204,0)),""),"")</f>
        <v/>
      </c>
      <c r="I875" s="23"/>
    </row>
    <row r="876" customFormat="false" ht="15" hidden="false" customHeight="false" outlineLevel="0" collapsed="false">
      <c r="A876" s="27"/>
      <c r="B876" s="23"/>
      <c r="C876" s="26" t="str">
        <f aca="false">IF($B876="","",IFERROR(INDEX(Produits!$B$5:$B$204,MATCH($B876,Produits!$A$5:$A$204,0)),"Code inconnu"))</f>
        <v/>
      </c>
      <c r="D876" s="23"/>
      <c r="E876" s="24"/>
      <c r="F876" s="21" t="str">
        <f aca="false">IF(OR($B876="",$D876=""),"",IFERROR(IF($D876="Entrée",INDEX(Produits!$E$5:$E$204,MATCH($B876,Produits!$A$5:$A$204,0)),INDEX(Produits!$F$5:$F$204,MATCH($B876,Produits!$A$5:$A$204,0))),""))</f>
        <v/>
      </c>
      <c r="G876" s="21" t="str">
        <f aca="false">IF(OR($F876="",$E876=""),"",$E876*$F876)</f>
        <v/>
      </c>
      <c r="H876" s="21" t="str">
        <f aca="false">IF(AND($D876="Sortie",$B876&lt;&gt;"",$E876&lt;&gt;""),IFERROR($E876*INDEX(Produits!$E$5:$E$204,MATCH($B876,Produits!$A$5:$A$204,0)),""),"")</f>
        <v/>
      </c>
      <c r="I876" s="23"/>
    </row>
    <row r="877" customFormat="false" ht="15" hidden="false" customHeight="false" outlineLevel="0" collapsed="false">
      <c r="A877" s="27"/>
      <c r="B877" s="23"/>
      <c r="C877" s="26" t="str">
        <f aca="false">IF($B877="","",IFERROR(INDEX(Produits!$B$5:$B$204,MATCH($B877,Produits!$A$5:$A$204,0)),"Code inconnu"))</f>
        <v/>
      </c>
      <c r="D877" s="23"/>
      <c r="E877" s="24"/>
      <c r="F877" s="21" t="str">
        <f aca="false">IF(OR($B877="",$D877=""),"",IFERROR(IF($D877="Entrée",INDEX(Produits!$E$5:$E$204,MATCH($B877,Produits!$A$5:$A$204,0)),INDEX(Produits!$F$5:$F$204,MATCH($B877,Produits!$A$5:$A$204,0))),""))</f>
        <v/>
      </c>
      <c r="G877" s="21" t="str">
        <f aca="false">IF(OR($F877="",$E877=""),"",$E877*$F877)</f>
        <v/>
      </c>
      <c r="H877" s="21" t="str">
        <f aca="false">IF(AND($D877="Sortie",$B877&lt;&gt;"",$E877&lt;&gt;""),IFERROR($E877*INDEX(Produits!$E$5:$E$204,MATCH($B877,Produits!$A$5:$A$204,0)),""),"")</f>
        <v/>
      </c>
      <c r="I877" s="23"/>
    </row>
    <row r="878" customFormat="false" ht="15" hidden="false" customHeight="false" outlineLevel="0" collapsed="false">
      <c r="A878" s="27"/>
      <c r="B878" s="23"/>
      <c r="C878" s="26" t="str">
        <f aca="false">IF($B878="","",IFERROR(INDEX(Produits!$B$5:$B$204,MATCH($B878,Produits!$A$5:$A$204,0)),"Code inconnu"))</f>
        <v/>
      </c>
      <c r="D878" s="23"/>
      <c r="E878" s="24"/>
      <c r="F878" s="21" t="str">
        <f aca="false">IF(OR($B878="",$D878=""),"",IFERROR(IF($D878="Entrée",INDEX(Produits!$E$5:$E$204,MATCH($B878,Produits!$A$5:$A$204,0)),INDEX(Produits!$F$5:$F$204,MATCH($B878,Produits!$A$5:$A$204,0))),""))</f>
        <v/>
      </c>
      <c r="G878" s="21" t="str">
        <f aca="false">IF(OR($F878="",$E878=""),"",$E878*$F878)</f>
        <v/>
      </c>
      <c r="H878" s="21" t="str">
        <f aca="false">IF(AND($D878="Sortie",$B878&lt;&gt;"",$E878&lt;&gt;""),IFERROR($E878*INDEX(Produits!$E$5:$E$204,MATCH($B878,Produits!$A$5:$A$204,0)),""),"")</f>
        <v/>
      </c>
      <c r="I878" s="23"/>
    </row>
    <row r="879" customFormat="false" ht="15" hidden="false" customHeight="false" outlineLevel="0" collapsed="false">
      <c r="A879" s="27"/>
      <c r="B879" s="23"/>
      <c r="C879" s="26" t="str">
        <f aca="false">IF($B879="","",IFERROR(INDEX(Produits!$B$5:$B$204,MATCH($B879,Produits!$A$5:$A$204,0)),"Code inconnu"))</f>
        <v/>
      </c>
      <c r="D879" s="23"/>
      <c r="E879" s="24"/>
      <c r="F879" s="21" t="str">
        <f aca="false">IF(OR($B879="",$D879=""),"",IFERROR(IF($D879="Entrée",INDEX(Produits!$E$5:$E$204,MATCH($B879,Produits!$A$5:$A$204,0)),INDEX(Produits!$F$5:$F$204,MATCH($B879,Produits!$A$5:$A$204,0))),""))</f>
        <v/>
      </c>
      <c r="G879" s="21" t="str">
        <f aca="false">IF(OR($F879="",$E879=""),"",$E879*$F879)</f>
        <v/>
      </c>
      <c r="H879" s="21" t="str">
        <f aca="false">IF(AND($D879="Sortie",$B879&lt;&gt;"",$E879&lt;&gt;""),IFERROR($E879*INDEX(Produits!$E$5:$E$204,MATCH($B879,Produits!$A$5:$A$204,0)),""),"")</f>
        <v/>
      </c>
      <c r="I879" s="23"/>
    </row>
    <row r="880" customFormat="false" ht="15" hidden="false" customHeight="false" outlineLevel="0" collapsed="false">
      <c r="A880" s="27"/>
      <c r="B880" s="23"/>
      <c r="C880" s="26" t="str">
        <f aca="false">IF($B880="","",IFERROR(INDEX(Produits!$B$5:$B$204,MATCH($B880,Produits!$A$5:$A$204,0)),"Code inconnu"))</f>
        <v/>
      </c>
      <c r="D880" s="23"/>
      <c r="E880" s="24"/>
      <c r="F880" s="21" t="str">
        <f aca="false">IF(OR($B880="",$D880=""),"",IFERROR(IF($D880="Entrée",INDEX(Produits!$E$5:$E$204,MATCH($B880,Produits!$A$5:$A$204,0)),INDEX(Produits!$F$5:$F$204,MATCH($B880,Produits!$A$5:$A$204,0))),""))</f>
        <v/>
      </c>
      <c r="G880" s="21" t="str">
        <f aca="false">IF(OR($F880="",$E880=""),"",$E880*$F880)</f>
        <v/>
      </c>
      <c r="H880" s="21" t="str">
        <f aca="false">IF(AND($D880="Sortie",$B880&lt;&gt;"",$E880&lt;&gt;""),IFERROR($E880*INDEX(Produits!$E$5:$E$204,MATCH($B880,Produits!$A$5:$A$204,0)),""),"")</f>
        <v/>
      </c>
      <c r="I880" s="23"/>
    </row>
    <row r="881" customFormat="false" ht="15" hidden="false" customHeight="false" outlineLevel="0" collapsed="false">
      <c r="A881" s="27"/>
      <c r="B881" s="23"/>
      <c r="C881" s="26" t="str">
        <f aca="false">IF($B881="","",IFERROR(INDEX(Produits!$B$5:$B$204,MATCH($B881,Produits!$A$5:$A$204,0)),"Code inconnu"))</f>
        <v/>
      </c>
      <c r="D881" s="23"/>
      <c r="E881" s="24"/>
      <c r="F881" s="21" t="str">
        <f aca="false">IF(OR($B881="",$D881=""),"",IFERROR(IF($D881="Entrée",INDEX(Produits!$E$5:$E$204,MATCH($B881,Produits!$A$5:$A$204,0)),INDEX(Produits!$F$5:$F$204,MATCH($B881,Produits!$A$5:$A$204,0))),""))</f>
        <v/>
      </c>
      <c r="G881" s="21" t="str">
        <f aca="false">IF(OR($F881="",$E881=""),"",$E881*$F881)</f>
        <v/>
      </c>
      <c r="H881" s="21" t="str">
        <f aca="false">IF(AND($D881="Sortie",$B881&lt;&gt;"",$E881&lt;&gt;""),IFERROR($E881*INDEX(Produits!$E$5:$E$204,MATCH($B881,Produits!$A$5:$A$204,0)),""),"")</f>
        <v/>
      </c>
      <c r="I881" s="23"/>
    </row>
    <row r="882" customFormat="false" ht="15" hidden="false" customHeight="false" outlineLevel="0" collapsed="false">
      <c r="A882" s="27"/>
      <c r="B882" s="23"/>
      <c r="C882" s="26" t="str">
        <f aca="false">IF($B882="","",IFERROR(INDEX(Produits!$B$5:$B$204,MATCH($B882,Produits!$A$5:$A$204,0)),"Code inconnu"))</f>
        <v/>
      </c>
      <c r="D882" s="23"/>
      <c r="E882" s="24"/>
      <c r="F882" s="21" t="str">
        <f aca="false">IF(OR($B882="",$D882=""),"",IFERROR(IF($D882="Entrée",INDEX(Produits!$E$5:$E$204,MATCH($B882,Produits!$A$5:$A$204,0)),INDEX(Produits!$F$5:$F$204,MATCH($B882,Produits!$A$5:$A$204,0))),""))</f>
        <v/>
      </c>
      <c r="G882" s="21" t="str">
        <f aca="false">IF(OR($F882="",$E882=""),"",$E882*$F882)</f>
        <v/>
      </c>
      <c r="H882" s="21" t="str">
        <f aca="false">IF(AND($D882="Sortie",$B882&lt;&gt;"",$E882&lt;&gt;""),IFERROR($E882*INDEX(Produits!$E$5:$E$204,MATCH($B882,Produits!$A$5:$A$204,0)),""),"")</f>
        <v/>
      </c>
      <c r="I882" s="23"/>
    </row>
    <row r="883" customFormat="false" ht="15" hidden="false" customHeight="false" outlineLevel="0" collapsed="false">
      <c r="A883" s="27"/>
      <c r="B883" s="23"/>
      <c r="C883" s="26" t="str">
        <f aca="false">IF($B883="","",IFERROR(INDEX(Produits!$B$5:$B$204,MATCH($B883,Produits!$A$5:$A$204,0)),"Code inconnu"))</f>
        <v/>
      </c>
      <c r="D883" s="23"/>
      <c r="E883" s="24"/>
      <c r="F883" s="21" t="str">
        <f aca="false">IF(OR($B883="",$D883=""),"",IFERROR(IF($D883="Entrée",INDEX(Produits!$E$5:$E$204,MATCH($B883,Produits!$A$5:$A$204,0)),INDEX(Produits!$F$5:$F$204,MATCH($B883,Produits!$A$5:$A$204,0))),""))</f>
        <v/>
      </c>
      <c r="G883" s="21" t="str">
        <f aca="false">IF(OR($F883="",$E883=""),"",$E883*$F883)</f>
        <v/>
      </c>
      <c r="H883" s="21" t="str">
        <f aca="false">IF(AND($D883="Sortie",$B883&lt;&gt;"",$E883&lt;&gt;""),IFERROR($E883*INDEX(Produits!$E$5:$E$204,MATCH($B883,Produits!$A$5:$A$204,0)),""),"")</f>
        <v/>
      </c>
      <c r="I883" s="23"/>
    </row>
    <row r="884" customFormat="false" ht="15" hidden="false" customHeight="false" outlineLevel="0" collapsed="false">
      <c r="A884" s="27"/>
      <c r="B884" s="23"/>
      <c r="C884" s="26" t="str">
        <f aca="false">IF($B884="","",IFERROR(INDEX(Produits!$B$5:$B$204,MATCH($B884,Produits!$A$5:$A$204,0)),"Code inconnu"))</f>
        <v/>
      </c>
      <c r="D884" s="23"/>
      <c r="E884" s="24"/>
      <c r="F884" s="21" t="str">
        <f aca="false">IF(OR($B884="",$D884=""),"",IFERROR(IF($D884="Entrée",INDEX(Produits!$E$5:$E$204,MATCH($B884,Produits!$A$5:$A$204,0)),INDEX(Produits!$F$5:$F$204,MATCH($B884,Produits!$A$5:$A$204,0))),""))</f>
        <v/>
      </c>
      <c r="G884" s="21" t="str">
        <f aca="false">IF(OR($F884="",$E884=""),"",$E884*$F884)</f>
        <v/>
      </c>
      <c r="H884" s="21" t="str">
        <f aca="false">IF(AND($D884="Sortie",$B884&lt;&gt;"",$E884&lt;&gt;""),IFERROR($E884*INDEX(Produits!$E$5:$E$204,MATCH($B884,Produits!$A$5:$A$204,0)),""),"")</f>
        <v/>
      </c>
      <c r="I884" s="23"/>
    </row>
    <row r="885" customFormat="false" ht="15" hidden="false" customHeight="false" outlineLevel="0" collapsed="false">
      <c r="A885" s="27"/>
      <c r="B885" s="23"/>
      <c r="C885" s="26" t="str">
        <f aca="false">IF($B885="","",IFERROR(INDEX(Produits!$B$5:$B$204,MATCH($B885,Produits!$A$5:$A$204,0)),"Code inconnu"))</f>
        <v/>
      </c>
      <c r="D885" s="23"/>
      <c r="E885" s="24"/>
      <c r="F885" s="21" t="str">
        <f aca="false">IF(OR($B885="",$D885=""),"",IFERROR(IF($D885="Entrée",INDEX(Produits!$E$5:$E$204,MATCH($B885,Produits!$A$5:$A$204,0)),INDEX(Produits!$F$5:$F$204,MATCH($B885,Produits!$A$5:$A$204,0))),""))</f>
        <v/>
      </c>
      <c r="G885" s="21" t="str">
        <f aca="false">IF(OR($F885="",$E885=""),"",$E885*$F885)</f>
        <v/>
      </c>
      <c r="H885" s="21" t="str">
        <f aca="false">IF(AND($D885="Sortie",$B885&lt;&gt;"",$E885&lt;&gt;""),IFERROR($E885*INDEX(Produits!$E$5:$E$204,MATCH($B885,Produits!$A$5:$A$204,0)),""),"")</f>
        <v/>
      </c>
      <c r="I885" s="23"/>
    </row>
    <row r="886" customFormat="false" ht="15" hidden="false" customHeight="false" outlineLevel="0" collapsed="false">
      <c r="A886" s="27"/>
      <c r="B886" s="23"/>
      <c r="C886" s="26" t="str">
        <f aca="false">IF($B886="","",IFERROR(INDEX(Produits!$B$5:$B$204,MATCH($B886,Produits!$A$5:$A$204,0)),"Code inconnu"))</f>
        <v/>
      </c>
      <c r="D886" s="23"/>
      <c r="E886" s="24"/>
      <c r="F886" s="21" t="str">
        <f aca="false">IF(OR($B886="",$D886=""),"",IFERROR(IF($D886="Entrée",INDEX(Produits!$E$5:$E$204,MATCH($B886,Produits!$A$5:$A$204,0)),INDEX(Produits!$F$5:$F$204,MATCH($B886,Produits!$A$5:$A$204,0))),""))</f>
        <v/>
      </c>
      <c r="G886" s="21" t="str">
        <f aca="false">IF(OR($F886="",$E886=""),"",$E886*$F886)</f>
        <v/>
      </c>
      <c r="H886" s="21" t="str">
        <f aca="false">IF(AND($D886="Sortie",$B886&lt;&gt;"",$E886&lt;&gt;""),IFERROR($E886*INDEX(Produits!$E$5:$E$204,MATCH($B886,Produits!$A$5:$A$204,0)),""),"")</f>
        <v/>
      </c>
      <c r="I886" s="23"/>
    </row>
    <row r="887" customFormat="false" ht="15" hidden="false" customHeight="false" outlineLevel="0" collapsed="false">
      <c r="A887" s="27"/>
      <c r="B887" s="23"/>
      <c r="C887" s="26" t="str">
        <f aca="false">IF($B887="","",IFERROR(INDEX(Produits!$B$5:$B$204,MATCH($B887,Produits!$A$5:$A$204,0)),"Code inconnu"))</f>
        <v/>
      </c>
      <c r="D887" s="23"/>
      <c r="E887" s="24"/>
      <c r="F887" s="21" t="str">
        <f aca="false">IF(OR($B887="",$D887=""),"",IFERROR(IF($D887="Entrée",INDEX(Produits!$E$5:$E$204,MATCH($B887,Produits!$A$5:$A$204,0)),INDEX(Produits!$F$5:$F$204,MATCH($B887,Produits!$A$5:$A$204,0))),""))</f>
        <v/>
      </c>
      <c r="G887" s="21" t="str">
        <f aca="false">IF(OR($F887="",$E887=""),"",$E887*$F887)</f>
        <v/>
      </c>
      <c r="H887" s="21" t="str">
        <f aca="false">IF(AND($D887="Sortie",$B887&lt;&gt;"",$E887&lt;&gt;""),IFERROR($E887*INDEX(Produits!$E$5:$E$204,MATCH($B887,Produits!$A$5:$A$204,0)),""),"")</f>
        <v/>
      </c>
      <c r="I887" s="23"/>
    </row>
    <row r="888" customFormat="false" ht="15" hidden="false" customHeight="false" outlineLevel="0" collapsed="false">
      <c r="A888" s="27"/>
      <c r="B888" s="23"/>
      <c r="C888" s="26" t="str">
        <f aca="false">IF($B888="","",IFERROR(INDEX(Produits!$B$5:$B$204,MATCH($B888,Produits!$A$5:$A$204,0)),"Code inconnu"))</f>
        <v/>
      </c>
      <c r="D888" s="23"/>
      <c r="E888" s="24"/>
      <c r="F888" s="21" t="str">
        <f aca="false">IF(OR($B888="",$D888=""),"",IFERROR(IF($D888="Entrée",INDEX(Produits!$E$5:$E$204,MATCH($B888,Produits!$A$5:$A$204,0)),INDEX(Produits!$F$5:$F$204,MATCH($B888,Produits!$A$5:$A$204,0))),""))</f>
        <v/>
      </c>
      <c r="G888" s="21" t="str">
        <f aca="false">IF(OR($F888="",$E888=""),"",$E888*$F888)</f>
        <v/>
      </c>
      <c r="H888" s="21" t="str">
        <f aca="false">IF(AND($D888="Sortie",$B888&lt;&gt;"",$E888&lt;&gt;""),IFERROR($E888*INDEX(Produits!$E$5:$E$204,MATCH($B888,Produits!$A$5:$A$204,0)),""),"")</f>
        <v/>
      </c>
      <c r="I888" s="23"/>
    </row>
    <row r="889" customFormat="false" ht="15" hidden="false" customHeight="false" outlineLevel="0" collapsed="false">
      <c r="A889" s="27"/>
      <c r="B889" s="23"/>
      <c r="C889" s="26" t="str">
        <f aca="false">IF($B889="","",IFERROR(INDEX(Produits!$B$5:$B$204,MATCH($B889,Produits!$A$5:$A$204,0)),"Code inconnu"))</f>
        <v/>
      </c>
      <c r="D889" s="23"/>
      <c r="E889" s="24"/>
      <c r="F889" s="21" t="str">
        <f aca="false">IF(OR($B889="",$D889=""),"",IFERROR(IF($D889="Entrée",INDEX(Produits!$E$5:$E$204,MATCH($B889,Produits!$A$5:$A$204,0)),INDEX(Produits!$F$5:$F$204,MATCH($B889,Produits!$A$5:$A$204,0))),""))</f>
        <v/>
      </c>
      <c r="G889" s="21" t="str">
        <f aca="false">IF(OR($F889="",$E889=""),"",$E889*$F889)</f>
        <v/>
      </c>
      <c r="H889" s="21" t="str">
        <f aca="false">IF(AND($D889="Sortie",$B889&lt;&gt;"",$E889&lt;&gt;""),IFERROR($E889*INDEX(Produits!$E$5:$E$204,MATCH($B889,Produits!$A$5:$A$204,0)),""),"")</f>
        <v/>
      </c>
      <c r="I889" s="23"/>
    </row>
    <row r="890" customFormat="false" ht="15" hidden="false" customHeight="false" outlineLevel="0" collapsed="false">
      <c r="A890" s="27"/>
      <c r="B890" s="23"/>
      <c r="C890" s="26" t="str">
        <f aca="false">IF($B890="","",IFERROR(INDEX(Produits!$B$5:$B$204,MATCH($B890,Produits!$A$5:$A$204,0)),"Code inconnu"))</f>
        <v/>
      </c>
      <c r="D890" s="23"/>
      <c r="E890" s="24"/>
      <c r="F890" s="21" t="str">
        <f aca="false">IF(OR($B890="",$D890=""),"",IFERROR(IF($D890="Entrée",INDEX(Produits!$E$5:$E$204,MATCH($B890,Produits!$A$5:$A$204,0)),INDEX(Produits!$F$5:$F$204,MATCH($B890,Produits!$A$5:$A$204,0))),""))</f>
        <v/>
      </c>
      <c r="G890" s="21" t="str">
        <f aca="false">IF(OR($F890="",$E890=""),"",$E890*$F890)</f>
        <v/>
      </c>
      <c r="H890" s="21" t="str">
        <f aca="false">IF(AND($D890="Sortie",$B890&lt;&gt;"",$E890&lt;&gt;""),IFERROR($E890*INDEX(Produits!$E$5:$E$204,MATCH($B890,Produits!$A$5:$A$204,0)),""),"")</f>
        <v/>
      </c>
      <c r="I890" s="23"/>
    </row>
    <row r="891" customFormat="false" ht="15" hidden="false" customHeight="false" outlineLevel="0" collapsed="false">
      <c r="A891" s="27"/>
      <c r="B891" s="23"/>
      <c r="C891" s="26" t="str">
        <f aca="false">IF($B891="","",IFERROR(INDEX(Produits!$B$5:$B$204,MATCH($B891,Produits!$A$5:$A$204,0)),"Code inconnu"))</f>
        <v/>
      </c>
      <c r="D891" s="23"/>
      <c r="E891" s="24"/>
      <c r="F891" s="21" t="str">
        <f aca="false">IF(OR($B891="",$D891=""),"",IFERROR(IF($D891="Entrée",INDEX(Produits!$E$5:$E$204,MATCH($B891,Produits!$A$5:$A$204,0)),INDEX(Produits!$F$5:$F$204,MATCH($B891,Produits!$A$5:$A$204,0))),""))</f>
        <v/>
      </c>
      <c r="G891" s="21" t="str">
        <f aca="false">IF(OR($F891="",$E891=""),"",$E891*$F891)</f>
        <v/>
      </c>
      <c r="H891" s="21" t="str">
        <f aca="false">IF(AND($D891="Sortie",$B891&lt;&gt;"",$E891&lt;&gt;""),IFERROR($E891*INDEX(Produits!$E$5:$E$204,MATCH($B891,Produits!$A$5:$A$204,0)),""),"")</f>
        <v/>
      </c>
      <c r="I891" s="23"/>
    </row>
    <row r="892" customFormat="false" ht="15" hidden="false" customHeight="false" outlineLevel="0" collapsed="false">
      <c r="A892" s="27"/>
      <c r="B892" s="23"/>
      <c r="C892" s="26" t="str">
        <f aca="false">IF($B892="","",IFERROR(INDEX(Produits!$B$5:$B$204,MATCH($B892,Produits!$A$5:$A$204,0)),"Code inconnu"))</f>
        <v/>
      </c>
      <c r="D892" s="23"/>
      <c r="E892" s="24"/>
      <c r="F892" s="21" t="str">
        <f aca="false">IF(OR($B892="",$D892=""),"",IFERROR(IF($D892="Entrée",INDEX(Produits!$E$5:$E$204,MATCH($B892,Produits!$A$5:$A$204,0)),INDEX(Produits!$F$5:$F$204,MATCH($B892,Produits!$A$5:$A$204,0))),""))</f>
        <v/>
      </c>
      <c r="G892" s="21" t="str">
        <f aca="false">IF(OR($F892="",$E892=""),"",$E892*$F892)</f>
        <v/>
      </c>
      <c r="H892" s="21" t="str">
        <f aca="false">IF(AND($D892="Sortie",$B892&lt;&gt;"",$E892&lt;&gt;""),IFERROR($E892*INDEX(Produits!$E$5:$E$204,MATCH($B892,Produits!$A$5:$A$204,0)),""),"")</f>
        <v/>
      </c>
      <c r="I892" s="23"/>
    </row>
    <row r="893" customFormat="false" ht="15" hidden="false" customHeight="false" outlineLevel="0" collapsed="false">
      <c r="A893" s="27"/>
      <c r="B893" s="23"/>
      <c r="C893" s="26" t="str">
        <f aca="false">IF($B893="","",IFERROR(INDEX(Produits!$B$5:$B$204,MATCH($B893,Produits!$A$5:$A$204,0)),"Code inconnu"))</f>
        <v/>
      </c>
      <c r="D893" s="23"/>
      <c r="E893" s="24"/>
      <c r="F893" s="21" t="str">
        <f aca="false">IF(OR($B893="",$D893=""),"",IFERROR(IF($D893="Entrée",INDEX(Produits!$E$5:$E$204,MATCH($B893,Produits!$A$5:$A$204,0)),INDEX(Produits!$F$5:$F$204,MATCH($B893,Produits!$A$5:$A$204,0))),""))</f>
        <v/>
      </c>
      <c r="G893" s="21" t="str">
        <f aca="false">IF(OR($F893="",$E893=""),"",$E893*$F893)</f>
        <v/>
      </c>
      <c r="H893" s="21" t="str">
        <f aca="false">IF(AND($D893="Sortie",$B893&lt;&gt;"",$E893&lt;&gt;""),IFERROR($E893*INDEX(Produits!$E$5:$E$204,MATCH($B893,Produits!$A$5:$A$204,0)),""),"")</f>
        <v/>
      </c>
      <c r="I893" s="23"/>
    </row>
    <row r="894" customFormat="false" ht="15" hidden="false" customHeight="false" outlineLevel="0" collapsed="false">
      <c r="A894" s="27"/>
      <c r="B894" s="23"/>
      <c r="C894" s="26" t="str">
        <f aca="false">IF($B894="","",IFERROR(INDEX(Produits!$B$5:$B$204,MATCH($B894,Produits!$A$5:$A$204,0)),"Code inconnu"))</f>
        <v/>
      </c>
      <c r="D894" s="23"/>
      <c r="E894" s="24"/>
      <c r="F894" s="21" t="str">
        <f aca="false">IF(OR($B894="",$D894=""),"",IFERROR(IF($D894="Entrée",INDEX(Produits!$E$5:$E$204,MATCH($B894,Produits!$A$5:$A$204,0)),INDEX(Produits!$F$5:$F$204,MATCH($B894,Produits!$A$5:$A$204,0))),""))</f>
        <v/>
      </c>
      <c r="G894" s="21" t="str">
        <f aca="false">IF(OR($F894="",$E894=""),"",$E894*$F894)</f>
        <v/>
      </c>
      <c r="H894" s="21" t="str">
        <f aca="false">IF(AND($D894="Sortie",$B894&lt;&gt;"",$E894&lt;&gt;""),IFERROR($E894*INDEX(Produits!$E$5:$E$204,MATCH($B894,Produits!$A$5:$A$204,0)),""),"")</f>
        <v/>
      </c>
      <c r="I894" s="23"/>
    </row>
    <row r="895" customFormat="false" ht="15" hidden="false" customHeight="false" outlineLevel="0" collapsed="false">
      <c r="A895" s="27"/>
      <c r="B895" s="23"/>
      <c r="C895" s="26" t="str">
        <f aca="false">IF($B895="","",IFERROR(INDEX(Produits!$B$5:$B$204,MATCH($B895,Produits!$A$5:$A$204,0)),"Code inconnu"))</f>
        <v/>
      </c>
      <c r="D895" s="23"/>
      <c r="E895" s="24"/>
      <c r="F895" s="21" t="str">
        <f aca="false">IF(OR($B895="",$D895=""),"",IFERROR(IF($D895="Entrée",INDEX(Produits!$E$5:$E$204,MATCH($B895,Produits!$A$5:$A$204,0)),INDEX(Produits!$F$5:$F$204,MATCH($B895,Produits!$A$5:$A$204,0))),""))</f>
        <v/>
      </c>
      <c r="G895" s="21" t="str">
        <f aca="false">IF(OR($F895="",$E895=""),"",$E895*$F895)</f>
        <v/>
      </c>
      <c r="H895" s="21" t="str">
        <f aca="false">IF(AND($D895="Sortie",$B895&lt;&gt;"",$E895&lt;&gt;""),IFERROR($E895*INDEX(Produits!$E$5:$E$204,MATCH($B895,Produits!$A$5:$A$204,0)),""),"")</f>
        <v/>
      </c>
      <c r="I895" s="23"/>
    </row>
    <row r="896" customFormat="false" ht="15" hidden="false" customHeight="false" outlineLevel="0" collapsed="false">
      <c r="A896" s="27"/>
      <c r="B896" s="23"/>
      <c r="C896" s="26" t="str">
        <f aca="false">IF($B896="","",IFERROR(INDEX(Produits!$B$5:$B$204,MATCH($B896,Produits!$A$5:$A$204,0)),"Code inconnu"))</f>
        <v/>
      </c>
      <c r="D896" s="23"/>
      <c r="E896" s="24"/>
      <c r="F896" s="21" t="str">
        <f aca="false">IF(OR($B896="",$D896=""),"",IFERROR(IF($D896="Entrée",INDEX(Produits!$E$5:$E$204,MATCH($B896,Produits!$A$5:$A$204,0)),INDEX(Produits!$F$5:$F$204,MATCH($B896,Produits!$A$5:$A$204,0))),""))</f>
        <v/>
      </c>
      <c r="G896" s="21" t="str">
        <f aca="false">IF(OR($F896="",$E896=""),"",$E896*$F896)</f>
        <v/>
      </c>
      <c r="H896" s="21" t="str">
        <f aca="false">IF(AND($D896="Sortie",$B896&lt;&gt;"",$E896&lt;&gt;""),IFERROR($E896*INDEX(Produits!$E$5:$E$204,MATCH($B896,Produits!$A$5:$A$204,0)),""),"")</f>
        <v/>
      </c>
      <c r="I896" s="23"/>
    </row>
    <row r="897" customFormat="false" ht="15" hidden="false" customHeight="false" outlineLevel="0" collapsed="false">
      <c r="A897" s="27"/>
      <c r="B897" s="23"/>
      <c r="C897" s="26" t="str">
        <f aca="false">IF($B897="","",IFERROR(INDEX(Produits!$B$5:$B$204,MATCH($B897,Produits!$A$5:$A$204,0)),"Code inconnu"))</f>
        <v/>
      </c>
      <c r="D897" s="23"/>
      <c r="E897" s="24"/>
      <c r="F897" s="21" t="str">
        <f aca="false">IF(OR($B897="",$D897=""),"",IFERROR(IF($D897="Entrée",INDEX(Produits!$E$5:$E$204,MATCH($B897,Produits!$A$5:$A$204,0)),INDEX(Produits!$F$5:$F$204,MATCH($B897,Produits!$A$5:$A$204,0))),""))</f>
        <v/>
      </c>
      <c r="G897" s="21" t="str">
        <f aca="false">IF(OR($F897="",$E897=""),"",$E897*$F897)</f>
        <v/>
      </c>
      <c r="H897" s="21" t="str">
        <f aca="false">IF(AND($D897="Sortie",$B897&lt;&gt;"",$E897&lt;&gt;""),IFERROR($E897*INDEX(Produits!$E$5:$E$204,MATCH($B897,Produits!$A$5:$A$204,0)),""),"")</f>
        <v/>
      </c>
      <c r="I897" s="23"/>
    </row>
    <row r="898" customFormat="false" ht="15" hidden="false" customHeight="false" outlineLevel="0" collapsed="false">
      <c r="A898" s="27"/>
      <c r="B898" s="23"/>
      <c r="C898" s="26" t="str">
        <f aca="false">IF($B898="","",IFERROR(INDEX(Produits!$B$5:$B$204,MATCH($B898,Produits!$A$5:$A$204,0)),"Code inconnu"))</f>
        <v/>
      </c>
      <c r="D898" s="23"/>
      <c r="E898" s="24"/>
      <c r="F898" s="21" t="str">
        <f aca="false">IF(OR($B898="",$D898=""),"",IFERROR(IF($D898="Entrée",INDEX(Produits!$E$5:$E$204,MATCH($B898,Produits!$A$5:$A$204,0)),INDEX(Produits!$F$5:$F$204,MATCH($B898,Produits!$A$5:$A$204,0))),""))</f>
        <v/>
      </c>
      <c r="G898" s="21" t="str">
        <f aca="false">IF(OR($F898="",$E898=""),"",$E898*$F898)</f>
        <v/>
      </c>
      <c r="H898" s="21" t="str">
        <f aca="false">IF(AND($D898="Sortie",$B898&lt;&gt;"",$E898&lt;&gt;""),IFERROR($E898*INDEX(Produits!$E$5:$E$204,MATCH($B898,Produits!$A$5:$A$204,0)),""),"")</f>
        <v/>
      </c>
      <c r="I898" s="23"/>
    </row>
    <row r="899" customFormat="false" ht="15" hidden="false" customHeight="false" outlineLevel="0" collapsed="false">
      <c r="A899" s="27"/>
      <c r="B899" s="23"/>
      <c r="C899" s="26" t="str">
        <f aca="false">IF($B899="","",IFERROR(INDEX(Produits!$B$5:$B$204,MATCH($B899,Produits!$A$5:$A$204,0)),"Code inconnu"))</f>
        <v/>
      </c>
      <c r="D899" s="23"/>
      <c r="E899" s="24"/>
      <c r="F899" s="21" t="str">
        <f aca="false">IF(OR($B899="",$D899=""),"",IFERROR(IF($D899="Entrée",INDEX(Produits!$E$5:$E$204,MATCH($B899,Produits!$A$5:$A$204,0)),INDEX(Produits!$F$5:$F$204,MATCH($B899,Produits!$A$5:$A$204,0))),""))</f>
        <v/>
      </c>
      <c r="G899" s="21" t="str">
        <f aca="false">IF(OR($F899="",$E899=""),"",$E899*$F899)</f>
        <v/>
      </c>
      <c r="H899" s="21" t="str">
        <f aca="false">IF(AND($D899="Sortie",$B899&lt;&gt;"",$E899&lt;&gt;""),IFERROR($E899*INDEX(Produits!$E$5:$E$204,MATCH($B899,Produits!$A$5:$A$204,0)),""),"")</f>
        <v/>
      </c>
      <c r="I899" s="23"/>
    </row>
    <row r="900" customFormat="false" ht="15" hidden="false" customHeight="false" outlineLevel="0" collapsed="false">
      <c r="A900" s="27"/>
      <c r="B900" s="23"/>
      <c r="C900" s="26" t="str">
        <f aca="false">IF($B900="","",IFERROR(INDEX(Produits!$B$5:$B$204,MATCH($B900,Produits!$A$5:$A$204,0)),"Code inconnu"))</f>
        <v/>
      </c>
      <c r="D900" s="23"/>
      <c r="E900" s="24"/>
      <c r="F900" s="21" t="str">
        <f aca="false">IF(OR($B900="",$D900=""),"",IFERROR(IF($D900="Entrée",INDEX(Produits!$E$5:$E$204,MATCH($B900,Produits!$A$5:$A$204,0)),INDEX(Produits!$F$5:$F$204,MATCH($B900,Produits!$A$5:$A$204,0))),""))</f>
        <v/>
      </c>
      <c r="G900" s="21" t="str">
        <f aca="false">IF(OR($F900="",$E900=""),"",$E900*$F900)</f>
        <v/>
      </c>
      <c r="H900" s="21" t="str">
        <f aca="false">IF(AND($D900="Sortie",$B900&lt;&gt;"",$E900&lt;&gt;""),IFERROR($E900*INDEX(Produits!$E$5:$E$204,MATCH($B900,Produits!$A$5:$A$204,0)),""),"")</f>
        <v/>
      </c>
      <c r="I900" s="23"/>
    </row>
    <row r="901" customFormat="false" ht="15" hidden="false" customHeight="false" outlineLevel="0" collapsed="false">
      <c r="A901" s="27"/>
      <c r="B901" s="23"/>
      <c r="C901" s="26" t="str">
        <f aca="false">IF($B901="","",IFERROR(INDEX(Produits!$B$5:$B$204,MATCH($B901,Produits!$A$5:$A$204,0)),"Code inconnu"))</f>
        <v/>
      </c>
      <c r="D901" s="23"/>
      <c r="E901" s="24"/>
      <c r="F901" s="21" t="str">
        <f aca="false">IF(OR($B901="",$D901=""),"",IFERROR(IF($D901="Entrée",INDEX(Produits!$E$5:$E$204,MATCH($B901,Produits!$A$5:$A$204,0)),INDEX(Produits!$F$5:$F$204,MATCH($B901,Produits!$A$5:$A$204,0))),""))</f>
        <v/>
      </c>
      <c r="G901" s="21" t="str">
        <f aca="false">IF(OR($F901="",$E901=""),"",$E901*$F901)</f>
        <v/>
      </c>
      <c r="H901" s="21" t="str">
        <f aca="false">IF(AND($D901="Sortie",$B901&lt;&gt;"",$E901&lt;&gt;""),IFERROR($E901*INDEX(Produits!$E$5:$E$204,MATCH($B901,Produits!$A$5:$A$204,0)),""),"")</f>
        <v/>
      </c>
      <c r="I901" s="23"/>
    </row>
    <row r="902" customFormat="false" ht="15" hidden="false" customHeight="false" outlineLevel="0" collapsed="false">
      <c r="A902" s="27"/>
      <c r="B902" s="23"/>
      <c r="C902" s="26" t="str">
        <f aca="false">IF($B902="","",IFERROR(INDEX(Produits!$B$5:$B$204,MATCH($B902,Produits!$A$5:$A$204,0)),"Code inconnu"))</f>
        <v/>
      </c>
      <c r="D902" s="23"/>
      <c r="E902" s="24"/>
      <c r="F902" s="21" t="str">
        <f aca="false">IF(OR($B902="",$D902=""),"",IFERROR(IF($D902="Entrée",INDEX(Produits!$E$5:$E$204,MATCH($B902,Produits!$A$5:$A$204,0)),INDEX(Produits!$F$5:$F$204,MATCH($B902,Produits!$A$5:$A$204,0))),""))</f>
        <v/>
      </c>
      <c r="G902" s="21" t="str">
        <f aca="false">IF(OR($F902="",$E902=""),"",$E902*$F902)</f>
        <v/>
      </c>
      <c r="H902" s="21" t="str">
        <f aca="false">IF(AND($D902="Sortie",$B902&lt;&gt;"",$E902&lt;&gt;""),IFERROR($E902*INDEX(Produits!$E$5:$E$204,MATCH($B902,Produits!$A$5:$A$204,0)),""),"")</f>
        <v/>
      </c>
      <c r="I902" s="23"/>
    </row>
    <row r="903" customFormat="false" ht="15" hidden="false" customHeight="false" outlineLevel="0" collapsed="false">
      <c r="A903" s="27"/>
      <c r="B903" s="23"/>
      <c r="C903" s="26" t="str">
        <f aca="false">IF($B903="","",IFERROR(INDEX(Produits!$B$5:$B$204,MATCH($B903,Produits!$A$5:$A$204,0)),"Code inconnu"))</f>
        <v/>
      </c>
      <c r="D903" s="23"/>
      <c r="E903" s="24"/>
      <c r="F903" s="21" t="str">
        <f aca="false">IF(OR($B903="",$D903=""),"",IFERROR(IF($D903="Entrée",INDEX(Produits!$E$5:$E$204,MATCH($B903,Produits!$A$5:$A$204,0)),INDEX(Produits!$F$5:$F$204,MATCH($B903,Produits!$A$5:$A$204,0))),""))</f>
        <v/>
      </c>
      <c r="G903" s="21" t="str">
        <f aca="false">IF(OR($F903="",$E903=""),"",$E903*$F903)</f>
        <v/>
      </c>
      <c r="H903" s="21" t="str">
        <f aca="false">IF(AND($D903="Sortie",$B903&lt;&gt;"",$E903&lt;&gt;""),IFERROR($E903*INDEX(Produits!$E$5:$E$204,MATCH($B903,Produits!$A$5:$A$204,0)),""),"")</f>
        <v/>
      </c>
      <c r="I903" s="23"/>
    </row>
    <row r="904" customFormat="false" ht="15" hidden="false" customHeight="false" outlineLevel="0" collapsed="false">
      <c r="A904" s="27"/>
      <c r="B904" s="23"/>
      <c r="C904" s="26" t="str">
        <f aca="false">IF($B904="","",IFERROR(INDEX(Produits!$B$5:$B$204,MATCH($B904,Produits!$A$5:$A$204,0)),"Code inconnu"))</f>
        <v/>
      </c>
      <c r="D904" s="23"/>
      <c r="E904" s="24"/>
      <c r="F904" s="21" t="str">
        <f aca="false">IF(OR($B904="",$D904=""),"",IFERROR(IF($D904="Entrée",INDEX(Produits!$E$5:$E$204,MATCH($B904,Produits!$A$5:$A$204,0)),INDEX(Produits!$F$5:$F$204,MATCH($B904,Produits!$A$5:$A$204,0))),""))</f>
        <v/>
      </c>
      <c r="G904" s="21" t="str">
        <f aca="false">IF(OR($F904="",$E904=""),"",$E904*$F904)</f>
        <v/>
      </c>
      <c r="H904" s="21" t="str">
        <f aca="false">IF(AND($D904="Sortie",$B904&lt;&gt;"",$E904&lt;&gt;""),IFERROR($E904*INDEX(Produits!$E$5:$E$204,MATCH($B904,Produits!$A$5:$A$204,0)),""),"")</f>
        <v/>
      </c>
      <c r="I904" s="23"/>
    </row>
    <row r="905" customFormat="false" ht="15" hidden="false" customHeight="false" outlineLevel="0" collapsed="false">
      <c r="A905" s="27"/>
      <c r="B905" s="23"/>
      <c r="C905" s="26" t="str">
        <f aca="false">IF($B905="","",IFERROR(INDEX(Produits!$B$5:$B$204,MATCH($B905,Produits!$A$5:$A$204,0)),"Code inconnu"))</f>
        <v/>
      </c>
      <c r="D905" s="23"/>
      <c r="E905" s="24"/>
      <c r="F905" s="21" t="str">
        <f aca="false">IF(OR($B905="",$D905=""),"",IFERROR(IF($D905="Entrée",INDEX(Produits!$E$5:$E$204,MATCH($B905,Produits!$A$5:$A$204,0)),INDEX(Produits!$F$5:$F$204,MATCH($B905,Produits!$A$5:$A$204,0))),""))</f>
        <v/>
      </c>
      <c r="G905" s="21" t="str">
        <f aca="false">IF(OR($F905="",$E905=""),"",$E905*$F905)</f>
        <v/>
      </c>
      <c r="H905" s="21" t="str">
        <f aca="false">IF(AND($D905="Sortie",$B905&lt;&gt;"",$E905&lt;&gt;""),IFERROR($E905*INDEX(Produits!$E$5:$E$204,MATCH($B905,Produits!$A$5:$A$204,0)),""),"")</f>
        <v/>
      </c>
      <c r="I905" s="23"/>
    </row>
    <row r="906" customFormat="false" ht="15" hidden="false" customHeight="false" outlineLevel="0" collapsed="false">
      <c r="A906" s="27"/>
      <c r="B906" s="23"/>
      <c r="C906" s="26" t="str">
        <f aca="false">IF($B906="","",IFERROR(INDEX(Produits!$B$5:$B$204,MATCH($B906,Produits!$A$5:$A$204,0)),"Code inconnu"))</f>
        <v/>
      </c>
      <c r="D906" s="23"/>
      <c r="E906" s="24"/>
      <c r="F906" s="21" t="str">
        <f aca="false">IF(OR($B906="",$D906=""),"",IFERROR(IF($D906="Entrée",INDEX(Produits!$E$5:$E$204,MATCH($B906,Produits!$A$5:$A$204,0)),INDEX(Produits!$F$5:$F$204,MATCH($B906,Produits!$A$5:$A$204,0))),""))</f>
        <v/>
      </c>
      <c r="G906" s="21" t="str">
        <f aca="false">IF(OR($F906="",$E906=""),"",$E906*$F906)</f>
        <v/>
      </c>
      <c r="H906" s="21" t="str">
        <f aca="false">IF(AND($D906="Sortie",$B906&lt;&gt;"",$E906&lt;&gt;""),IFERROR($E906*INDEX(Produits!$E$5:$E$204,MATCH($B906,Produits!$A$5:$A$204,0)),""),"")</f>
        <v/>
      </c>
      <c r="I906" s="23"/>
    </row>
    <row r="907" customFormat="false" ht="15" hidden="false" customHeight="false" outlineLevel="0" collapsed="false">
      <c r="A907" s="27"/>
      <c r="B907" s="23"/>
      <c r="C907" s="26" t="str">
        <f aca="false">IF($B907="","",IFERROR(INDEX(Produits!$B$5:$B$204,MATCH($B907,Produits!$A$5:$A$204,0)),"Code inconnu"))</f>
        <v/>
      </c>
      <c r="D907" s="23"/>
      <c r="E907" s="24"/>
      <c r="F907" s="21" t="str">
        <f aca="false">IF(OR($B907="",$D907=""),"",IFERROR(IF($D907="Entrée",INDEX(Produits!$E$5:$E$204,MATCH($B907,Produits!$A$5:$A$204,0)),INDEX(Produits!$F$5:$F$204,MATCH($B907,Produits!$A$5:$A$204,0))),""))</f>
        <v/>
      </c>
      <c r="G907" s="21" t="str">
        <f aca="false">IF(OR($F907="",$E907=""),"",$E907*$F907)</f>
        <v/>
      </c>
      <c r="H907" s="21" t="str">
        <f aca="false">IF(AND($D907="Sortie",$B907&lt;&gt;"",$E907&lt;&gt;""),IFERROR($E907*INDEX(Produits!$E$5:$E$204,MATCH($B907,Produits!$A$5:$A$204,0)),""),"")</f>
        <v/>
      </c>
      <c r="I907" s="23"/>
    </row>
    <row r="908" customFormat="false" ht="15" hidden="false" customHeight="false" outlineLevel="0" collapsed="false">
      <c r="A908" s="27"/>
      <c r="B908" s="23"/>
      <c r="C908" s="26" t="str">
        <f aca="false">IF($B908="","",IFERROR(INDEX(Produits!$B$5:$B$204,MATCH($B908,Produits!$A$5:$A$204,0)),"Code inconnu"))</f>
        <v/>
      </c>
      <c r="D908" s="23"/>
      <c r="E908" s="24"/>
      <c r="F908" s="21" t="str">
        <f aca="false">IF(OR($B908="",$D908=""),"",IFERROR(IF($D908="Entrée",INDEX(Produits!$E$5:$E$204,MATCH($B908,Produits!$A$5:$A$204,0)),INDEX(Produits!$F$5:$F$204,MATCH($B908,Produits!$A$5:$A$204,0))),""))</f>
        <v/>
      </c>
      <c r="G908" s="21" t="str">
        <f aca="false">IF(OR($F908="",$E908=""),"",$E908*$F908)</f>
        <v/>
      </c>
      <c r="H908" s="21" t="str">
        <f aca="false">IF(AND($D908="Sortie",$B908&lt;&gt;"",$E908&lt;&gt;""),IFERROR($E908*INDEX(Produits!$E$5:$E$204,MATCH($B908,Produits!$A$5:$A$204,0)),""),"")</f>
        <v/>
      </c>
      <c r="I908" s="23"/>
    </row>
    <row r="909" customFormat="false" ht="15" hidden="false" customHeight="false" outlineLevel="0" collapsed="false">
      <c r="A909" s="27"/>
      <c r="B909" s="23"/>
      <c r="C909" s="26" t="str">
        <f aca="false">IF($B909="","",IFERROR(INDEX(Produits!$B$5:$B$204,MATCH($B909,Produits!$A$5:$A$204,0)),"Code inconnu"))</f>
        <v/>
      </c>
      <c r="D909" s="23"/>
      <c r="E909" s="24"/>
      <c r="F909" s="21" t="str">
        <f aca="false">IF(OR($B909="",$D909=""),"",IFERROR(IF($D909="Entrée",INDEX(Produits!$E$5:$E$204,MATCH($B909,Produits!$A$5:$A$204,0)),INDEX(Produits!$F$5:$F$204,MATCH($B909,Produits!$A$5:$A$204,0))),""))</f>
        <v/>
      </c>
      <c r="G909" s="21" t="str">
        <f aca="false">IF(OR($F909="",$E909=""),"",$E909*$F909)</f>
        <v/>
      </c>
      <c r="H909" s="21" t="str">
        <f aca="false">IF(AND($D909="Sortie",$B909&lt;&gt;"",$E909&lt;&gt;""),IFERROR($E909*INDEX(Produits!$E$5:$E$204,MATCH($B909,Produits!$A$5:$A$204,0)),""),"")</f>
        <v/>
      </c>
      <c r="I909" s="23"/>
    </row>
    <row r="910" customFormat="false" ht="15" hidden="false" customHeight="false" outlineLevel="0" collapsed="false">
      <c r="A910" s="27"/>
      <c r="B910" s="23"/>
      <c r="C910" s="26" t="str">
        <f aca="false">IF($B910="","",IFERROR(INDEX(Produits!$B$5:$B$204,MATCH($B910,Produits!$A$5:$A$204,0)),"Code inconnu"))</f>
        <v/>
      </c>
      <c r="D910" s="23"/>
      <c r="E910" s="24"/>
      <c r="F910" s="21" t="str">
        <f aca="false">IF(OR($B910="",$D910=""),"",IFERROR(IF($D910="Entrée",INDEX(Produits!$E$5:$E$204,MATCH($B910,Produits!$A$5:$A$204,0)),INDEX(Produits!$F$5:$F$204,MATCH($B910,Produits!$A$5:$A$204,0))),""))</f>
        <v/>
      </c>
      <c r="G910" s="21" t="str">
        <f aca="false">IF(OR($F910="",$E910=""),"",$E910*$F910)</f>
        <v/>
      </c>
      <c r="H910" s="21" t="str">
        <f aca="false">IF(AND($D910="Sortie",$B910&lt;&gt;"",$E910&lt;&gt;""),IFERROR($E910*INDEX(Produits!$E$5:$E$204,MATCH($B910,Produits!$A$5:$A$204,0)),""),"")</f>
        <v/>
      </c>
      <c r="I910" s="23"/>
    </row>
    <row r="911" customFormat="false" ht="15" hidden="false" customHeight="false" outlineLevel="0" collapsed="false">
      <c r="A911" s="27"/>
      <c r="B911" s="23"/>
      <c r="C911" s="26" t="str">
        <f aca="false">IF($B911="","",IFERROR(INDEX(Produits!$B$5:$B$204,MATCH($B911,Produits!$A$5:$A$204,0)),"Code inconnu"))</f>
        <v/>
      </c>
      <c r="D911" s="23"/>
      <c r="E911" s="24"/>
      <c r="F911" s="21" t="str">
        <f aca="false">IF(OR($B911="",$D911=""),"",IFERROR(IF($D911="Entrée",INDEX(Produits!$E$5:$E$204,MATCH($B911,Produits!$A$5:$A$204,0)),INDEX(Produits!$F$5:$F$204,MATCH($B911,Produits!$A$5:$A$204,0))),""))</f>
        <v/>
      </c>
      <c r="G911" s="21" t="str">
        <f aca="false">IF(OR($F911="",$E911=""),"",$E911*$F911)</f>
        <v/>
      </c>
      <c r="H911" s="21" t="str">
        <f aca="false">IF(AND($D911="Sortie",$B911&lt;&gt;"",$E911&lt;&gt;""),IFERROR($E911*INDEX(Produits!$E$5:$E$204,MATCH($B911,Produits!$A$5:$A$204,0)),""),"")</f>
        <v/>
      </c>
      <c r="I911" s="23"/>
    </row>
    <row r="912" customFormat="false" ht="15" hidden="false" customHeight="false" outlineLevel="0" collapsed="false">
      <c r="A912" s="27"/>
      <c r="B912" s="23"/>
      <c r="C912" s="26" t="str">
        <f aca="false">IF($B912="","",IFERROR(INDEX(Produits!$B$5:$B$204,MATCH($B912,Produits!$A$5:$A$204,0)),"Code inconnu"))</f>
        <v/>
      </c>
      <c r="D912" s="23"/>
      <c r="E912" s="24"/>
      <c r="F912" s="21" t="str">
        <f aca="false">IF(OR($B912="",$D912=""),"",IFERROR(IF($D912="Entrée",INDEX(Produits!$E$5:$E$204,MATCH($B912,Produits!$A$5:$A$204,0)),INDEX(Produits!$F$5:$F$204,MATCH($B912,Produits!$A$5:$A$204,0))),""))</f>
        <v/>
      </c>
      <c r="G912" s="21" t="str">
        <f aca="false">IF(OR($F912="",$E912=""),"",$E912*$F912)</f>
        <v/>
      </c>
      <c r="H912" s="21" t="str">
        <f aca="false">IF(AND($D912="Sortie",$B912&lt;&gt;"",$E912&lt;&gt;""),IFERROR($E912*INDEX(Produits!$E$5:$E$204,MATCH($B912,Produits!$A$5:$A$204,0)),""),"")</f>
        <v/>
      </c>
      <c r="I912" s="23"/>
    </row>
    <row r="913" customFormat="false" ht="15" hidden="false" customHeight="false" outlineLevel="0" collapsed="false">
      <c r="A913" s="27"/>
      <c r="B913" s="23"/>
      <c r="C913" s="26" t="str">
        <f aca="false">IF($B913="","",IFERROR(INDEX(Produits!$B$5:$B$204,MATCH($B913,Produits!$A$5:$A$204,0)),"Code inconnu"))</f>
        <v/>
      </c>
      <c r="D913" s="23"/>
      <c r="E913" s="24"/>
      <c r="F913" s="21" t="str">
        <f aca="false">IF(OR($B913="",$D913=""),"",IFERROR(IF($D913="Entrée",INDEX(Produits!$E$5:$E$204,MATCH($B913,Produits!$A$5:$A$204,0)),INDEX(Produits!$F$5:$F$204,MATCH($B913,Produits!$A$5:$A$204,0))),""))</f>
        <v/>
      </c>
      <c r="G913" s="21" t="str">
        <f aca="false">IF(OR($F913="",$E913=""),"",$E913*$F913)</f>
        <v/>
      </c>
      <c r="H913" s="21" t="str">
        <f aca="false">IF(AND($D913="Sortie",$B913&lt;&gt;"",$E913&lt;&gt;""),IFERROR($E913*INDEX(Produits!$E$5:$E$204,MATCH($B913,Produits!$A$5:$A$204,0)),""),"")</f>
        <v/>
      </c>
      <c r="I913" s="23"/>
    </row>
    <row r="914" customFormat="false" ht="15" hidden="false" customHeight="false" outlineLevel="0" collapsed="false">
      <c r="A914" s="27"/>
      <c r="B914" s="23"/>
      <c r="C914" s="26" t="str">
        <f aca="false">IF($B914="","",IFERROR(INDEX(Produits!$B$5:$B$204,MATCH($B914,Produits!$A$5:$A$204,0)),"Code inconnu"))</f>
        <v/>
      </c>
      <c r="D914" s="23"/>
      <c r="E914" s="24"/>
      <c r="F914" s="21" t="str">
        <f aca="false">IF(OR($B914="",$D914=""),"",IFERROR(IF($D914="Entrée",INDEX(Produits!$E$5:$E$204,MATCH($B914,Produits!$A$5:$A$204,0)),INDEX(Produits!$F$5:$F$204,MATCH($B914,Produits!$A$5:$A$204,0))),""))</f>
        <v/>
      </c>
      <c r="G914" s="21" t="str">
        <f aca="false">IF(OR($F914="",$E914=""),"",$E914*$F914)</f>
        <v/>
      </c>
      <c r="H914" s="21" t="str">
        <f aca="false">IF(AND($D914="Sortie",$B914&lt;&gt;"",$E914&lt;&gt;""),IFERROR($E914*INDEX(Produits!$E$5:$E$204,MATCH($B914,Produits!$A$5:$A$204,0)),""),"")</f>
        <v/>
      </c>
      <c r="I914" s="23"/>
    </row>
    <row r="915" customFormat="false" ht="15" hidden="false" customHeight="false" outlineLevel="0" collapsed="false">
      <c r="A915" s="27"/>
      <c r="B915" s="23"/>
      <c r="C915" s="26" t="str">
        <f aca="false">IF($B915="","",IFERROR(INDEX(Produits!$B$5:$B$204,MATCH($B915,Produits!$A$5:$A$204,0)),"Code inconnu"))</f>
        <v/>
      </c>
      <c r="D915" s="23"/>
      <c r="E915" s="24"/>
      <c r="F915" s="21" t="str">
        <f aca="false">IF(OR($B915="",$D915=""),"",IFERROR(IF($D915="Entrée",INDEX(Produits!$E$5:$E$204,MATCH($B915,Produits!$A$5:$A$204,0)),INDEX(Produits!$F$5:$F$204,MATCH($B915,Produits!$A$5:$A$204,0))),""))</f>
        <v/>
      </c>
      <c r="G915" s="21" t="str">
        <f aca="false">IF(OR($F915="",$E915=""),"",$E915*$F915)</f>
        <v/>
      </c>
      <c r="H915" s="21" t="str">
        <f aca="false">IF(AND($D915="Sortie",$B915&lt;&gt;"",$E915&lt;&gt;""),IFERROR($E915*INDEX(Produits!$E$5:$E$204,MATCH($B915,Produits!$A$5:$A$204,0)),""),"")</f>
        <v/>
      </c>
      <c r="I915" s="23"/>
    </row>
    <row r="916" customFormat="false" ht="15" hidden="false" customHeight="false" outlineLevel="0" collapsed="false">
      <c r="A916" s="27"/>
      <c r="B916" s="23"/>
      <c r="C916" s="26" t="str">
        <f aca="false">IF($B916="","",IFERROR(INDEX(Produits!$B$5:$B$204,MATCH($B916,Produits!$A$5:$A$204,0)),"Code inconnu"))</f>
        <v/>
      </c>
      <c r="D916" s="23"/>
      <c r="E916" s="24"/>
      <c r="F916" s="21" t="str">
        <f aca="false">IF(OR($B916="",$D916=""),"",IFERROR(IF($D916="Entrée",INDEX(Produits!$E$5:$E$204,MATCH($B916,Produits!$A$5:$A$204,0)),INDEX(Produits!$F$5:$F$204,MATCH($B916,Produits!$A$5:$A$204,0))),""))</f>
        <v/>
      </c>
      <c r="G916" s="21" t="str">
        <f aca="false">IF(OR($F916="",$E916=""),"",$E916*$F916)</f>
        <v/>
      </c>
      <c r="H916" s="21" t="str">
        <f aca="false">IF(AND($D916="Sortie",$B916&lt;&gt;"",$E916&lt;&gt;""),IFERROR($E916*INDEX(Produits!$E$5:$E$204,MATCH($B916,Produits!$A$5:$A$204,0)),""),"")</f>
        <v/>
      </c>
      <c r="I916" s="23"/>
    </row>
    <row r="917" customFormat="false" ht="15" hidden="false" customHeight="false" outlineLevel="0" collapsed="false">
      <c r="A917" s="27"/>
      <c r="B917" s="23"/>
      <c r="C917" s="26" t="str">
        <f aca="false">IF($B917="","",IFERROR(INDEX(Produits!$B$5:$B$204,MATCH($B917,Produits!$A$5:$A$204,0)),"Code inconnu"))</f>
        <v/>
      </c>
      <c r="D917" s="23"/>
      <c r="E917" s="24"/>
      <c r="F917" s="21" t="str">
        <f aca="false">IF(OR($B917="",$D917=""),"",IFERROR(IF($D917="Entrée",INDEX(Produits!$E$5:$E$204,MATCH($B917,Produits!$A$5:$A$204,0)),INDEX(Produits!$F$5:$F$204,MATCH($B917,Produits!$A$5:$A$204,0))),""))</f>
        <v/>
      </c>
      <c r="G917" s="21" t="str">
        <f aca="false">IF(OR($F917="",$E917=""),"",$E917*$F917)</f>
        <v/>
      </c>
      <c r="H917" s="21" t="str">
        <f aca="false">IF(AND($D917="Sortie",$B917&lt;&gt;"",$E917&lt;&gt;""),IFERROR($E917*INDEX(Produits!$E$5:$E$204,MATCH($B917,Produits!$A$5:$A$204,0)),""),"")</f>
        <v/>
      </c>
      <c r="I917" s="23"/>
    </row>
    <row r="918" customFormat="false" ht="15" hidden="false" customHeight="false" outlineLevel="0" collapsed="false">
      <c r="A918" s="27"/>
      <c r="B918" s="23"/>
      <c r="C918" s="26" t="str">
        <f aca="false">IF($B918="","",IFERROR(INDEX(Produits!$B$5:$B$204,MATCH($B918,Produits!$A$5:$A$204,0)),"Code inconnu"))</f>
        <v/>
      </c>
      <c r="D918" s="23"/>
      <c r="E918" s="24"/>
      <c r="F918" s="21" t="str">
        <f aca="false">IF(OR($B918="",$D918=""),"",IFERROR(IF($D918="Entrée",INDEX(Produits!$E$5:$E$204,MATCH($B918,Produits!$A$5:$A$204,0)),INDEX(Produits!$F$5:$F$204,MATCH($B918,Produits!$A$5:$A$204,0))),""))</f>
        <v/>
      </c>
      <c r="G918" s="21" t="str">
        <f aca="false">IF(OR($F918="",$E918=""),"",$E918*$F918)</f>
        <v/>
      </c>
      <c r="H918" s="21" t="str">
        <f aca="false">IF(AND($D918="Sortie",$B918&lt;&gt;"",$E918&lt;&gt;""),IFERROR($E918*INDEX(Produits!$E$5:$E$204,MATCH($B918,Produits!$A$5:$A$204,0)),""),"")</f>
        <v/>
      </c>
      <c r="I918" s="23"/>
    </row>
    <row r="919" customFormat="false" ht="15" hidden="false" customHeight="false" outlineLevel="0" collapsed="false">
      <c r="A919" s="27"/>
      <c r="B919" s="23"/>
      <c r="C919" s="26" t="str">
        <f aca="false">IF($B919="","",IFERROR(INDEX(Produits!$B$5:$B$204,MATCH($B919,Produits!$A$5:$A$204,0)),"Code inconnu"))</f>
        <v/>
      </c>
      <c r="D919" s="23"/>
      <c r="E919" s="24"/>
      <c r="F919" s="21" t="str">
        <f aca="false">IF(OR($B919="",$D919=""),"",IFERROR(IF($D919="Entrée",INDEX(Produits!$E$5:$E$204,MATCH($B919,Produits!$A$5:$A$204,0)),INDEX(Produits!$F$5:$F$204,MATCH($B919,Produits!$A$5:$A$204,0))),""))</f>
        <v/>
      </c>
      <c r="G919" s="21" t="str">
        <f aca="false">IF(OR($F919="",$E919=""),"",$E919*$F919)</f>
        <v/>
      </c>
      <c r="H919" s="21" t="str">
        <f aca="false">IF(AND($D919="Sortie",$B919&lt;&gt;"",$E919&lt;&gt;""),IFERROR($E919*INDEX(Produits!$E$5:$E$204,MATCH($B919,Produits!$A$5:$A$204,0)),""),"")</f>
        <v/>
      </c>
      <c r="I919" s="23"/>
    </row>
    <row r="920" customFormat="false" ht="15" hidden="false" customHeight="false" outlineLevel="0" collapsed="false">
      <c r="A920" s="27"/>
      <c r="B920" s="23"/>
      <c r="C920" s="26" t="str">
        <f aca="false">IF($B920="","",IFERROR(INDEX(Produits!$B$5:$B$204,MATCH($B920,Produits!$A$5:$A$204,0)),"Code inconnu"))</f>
        <v/>
      </c>
      <c r="D920" s="23"/>
      <c r="E920" s="24"/>
      <c r="F920" s="21" t="str">
        <f aca="false">IF(OR($B920="",$D920=""),"",IFERROR(IF($D920="Entrée",INDEX(Produits!$E$5:$E$204,MATCH($B920,Produits!$A$5:$A$204,0)),INDEX(Produits!$F$5:$F$204,MATCH($B920,Produits!$A$5:$A$204,0))),""))</f>
        <v/>
      </c>
      <c r="G920" s="21" t="str">
        <f aca="false">IF(OR($F920="",$E920=""),"",$E920*$F920)</f>
        <v/>
      </c>
      <c r="H920" s="21" t="str">
        <f aca="false">IF(AND($D920="Sortie",$B920&lt;&gt;"",$E920&lt;&gt;""),IFERROR($E920*INDEX(Produits!$E$5:$E$204,MATCH($B920,Produits!$A$5:$A$204,0)),""),"")</f>
        <v/>
      </c>
      <c r="I920" s="23"/>
    </row>
    <row r="921" customFormat="false" ht="15" hidden="false" customHeight="false" outlineLevel="0" collapsed="false">
      <c r="A921" s="27"/>
      <c r="B921" s="23"/>
      <c r="C921" s="26" t="str">
        <f aca="false">IF($B921="","",IFERROR(INDEX(Produits!$B$5:$B$204,MATCH($B921,Produits!$A$5:$A$204,0)),"Code inconnu"))</f>
        <v/>
      </c>
      <c r="D921" s="23"/>
      <c r="E921" s="24"/>
      <c r="F921" s="21" t="str">
        <f aca="false">IF(OR($B921="",$D921=""),"",IFERROR(IF($D921="Entrée",INDEX(Produits!$E$5:$E$204,MATCH($B921,Produits!$A$5:$A$204,0)),INDEX(Produits!$F$5:$F$204,MATCH($B921,Produits!$A$5:$A$204,0))),""))</f>
        <v/>
      </c>
      <c r="G921" s="21" t="str">
        <f aca="false">IF(OR($F921="",$E921=""),"",$E921*$F921)</f>
        <v/>
      </c>
      <c r="H921" s="21" t="str">
        <f aca="false">IF(AND($D921="Sortie",$B921&lt;&gt;"",$E921&lt;&gt;""),IFERROR($E921*INDEX(Produits!$E$5:$E$204,MATCH($B921,Produits!$A$5:$A$204,0)),""),"")</f>
        <v/>
      </c>
      <c r="I921" s="23"/>
    </row>
    <row r="922" customFormat="false" ht="15" hidden="false" customHeight="false" outlineLevel="0" collapsed="false">
      <c r="A922" s="27"/>
      <c r="B922" s="23"/>
      <c r="C922" s="26" t="str">
        <f aca="false">IF($B922="","",IFERROR(INDEX(Produits!$B$5:$B$204,MATCH($B922,Produits!$A$5:$A$204,0)),"Code inconnu"))</f>
        <v/>
      </c>
      <c r="D922" s="23"/>
      <c r="E922" s="24"/>
      <c r="F922" s="21" t="str">
        <f aca="false">IF(OR($B922="",$D922=""),"",IFERROR(IF($D922="Entrée",INDEX(Produits!$E$5:$E$204,MATCH($B922,Produits!$A$5:$A$204,0)),INDEX(Produits!$F$5:$F$204,MATCH($B922,Produits!$A$5:$A$204,0))),""))</f>
        <v/>
      </c>
      <c r="G922" s="21" t="str">
        <f aca="false">IF(OR($F922="",$E922=""),"",$E922*$F922)</f>
        <v/>
      </c>
      <c r="H922" s="21" t="str">
        <f aca="false">IF(AND($D922="Sortie",$B922&lt;&gt;"",$E922&lt;&gt;""),IFERROR($E922*INDEX(Produits!$E$5:$E$204,MATCH($B922,Produits!$A$5:$A$204,0)),""),"")</f>
        <v/>
      </c>
      <c r="I922" s="23"/>
    </row>
    <row r="923" customFormat="false" ht="15" hidden="false" customHeight="false" outlineLevel="0" collapsed="false">
      <c r="A923" s="27"/>
      <c r="B923" s="23"/>
      <c r="C923" s="26" t="str">
        <f aca="false">IF($B923="","",IFERROR(INDEX(Produits!$B$5:$B$204,MATCH($B923,Produits!$A$5:$A$204,0)),"Code inconnu"))</f>
        <v/>
      </c>
      <c r="D923" s="23"/>
      <c r="E923" s="24"/>
      <c r="F923" s="21" t="str">
        <f aca="false">IF(OR($B923="",$D923=""),"",IFERROR(IF($D923="Entrée",INDEX(Produits!$E$5:$E$204,MATCH($B923,Produits!$A$5:$A$204,0)),INDEX(Produits!$F$5:$F$204,MATCH($B923,Produits!$A$5:$A$204,0))),""))</f>
        <v/>
      </c>
      <c r="G923" s="21" t="str">
        <f aca="false">IF(OR($F923="",$E923=""),"",$E923*$F923)</f>
        <v/>
      </c>
      <c r="H923" s="21" t="str">
        <f aca="false">IF(AND($D923="Sortie",$B923&lt;&gt;"",$E923&lt;&gt;""),IFERROR($E923*INDEX(Produits!$E$5:$E$204,MATCH($B923,Produits!$A$5:$A$204,0)),""),"")</f>
        <v/>
      </c>
      <c r="I923" s="23"/>
    </row>
    <row r="924" customFormat="false" ht="15" hidden="false" customHeight="false" outlineLevel="0" collapsed="false">
      <c r="A924" s="27"/>
      <c r="B924" s="23"/>
      <c r="C924" s="26" t="str">
        <f aca="false">IF($B924="","",IFERROR(INDEX(Produits!$B$5:$B$204,MATCH($B924,Produits!$A$5:$A$204,0)),"Code inconnu"))</f>
        <v/>
      </c>
      <c r="D924" s="23"/>
      <c r="E924" s="24"/>
      <c r="F924" s="21" t="str">
        <f aca="false">IF(OR($B924="",$D924=""),"",IFERROR(IF($D924="Entrée",INDEX(Produits!$E$5:$E$204,MATCH($B924,Produits!$A$5:$A$204,0)),INDEX(Produits!$F$5:$F$204,MATCH($B924,Produits!$A$5:$A$204,0))),""))</f>
        <v/>
      </c>
      <c r="G924" s="21" t="str">
        <f aca="false">IF(OR($F924="",$E924=""),"",$E924*$F924)</f>
        <v/>
      </c>
      <c r="H924" s="21" t="str">
        <f aca="false">IF(AND($D924="Sortie",$B924&lt;&gt;"",$E924&lt;&gt;""),IFERROR($E924*INDEX(Produits!$E$5:$E$204,MATCH($B924,Produits!$A$5:$A$204,0)),""),"")</f>
        <v/>
      </c>
      <c r="I924" s="23"/>
    </row>
    <row r="925" customFormat="false" ht="15" hidden="false" customHeight="false" outlineLevel="0" collapsed="false">
      <c r="A925" s="27"/>
      <c r="B925" s="23"/>
      <c r="C925" s="26" t="str">
        <f aca="false">IF($B925="","",IFERROR(INDEX(Produits!$B$5:$B$204,MATCH($B925,Produits!$A$5:$A$204,0)),"Code inconnu"))</f>
        <v/>
      </c>
      <c r="D925" s="23"/>
      <c r="E925" s="24"/>
      <c r="F925" s="21" t="str">
        <f aca="false">IF(OR($B925="",$D925=""),"",IFERROR(IF($D925="Entrée",INDEX(Produits!$E$5:$E$204,MATCH($B925,Produits!$A$5:$A$204,0)),INDEX(Produits!$F$5:$F$204,MATCH($B925,Produits!$A$5:$A$204,0))),""))</f>
        <v/>
      </c>
      <c r="G925" s="21" t="str">
        <f aca="false">IF(OR($F925="",$E925=""),"",$E925*$F925)</f>
        <v/>
      </c>
      <c r="H925" s="21" t="str">
        <f aca="false">IF(AND($D925="Sortie",$B925&lt;&gt;"",$E925&lt;&gt;""),IFERROR($E925*INDEX(Produits!$E$5:$E$204,MATCH($B925,Produits!$A$5:$A$204,0)),""),"")</f>
        <v/>
      </c>
      <c r="I925" s="23"/>
    </row>
    <row r="926" customFormat="false" ht="15" hidden="false" customHeight="false" outlineLevel="0" collapsed="false">
      <c r="A926" s="27"/>
      <c r="B926" s="23"/>
      <c r="C926" s="26" t="str">
        <f aca="false">IF($B926="","",IFERROR(INDEX(Produits!$B$5:$B$204,MATCH($B926,Produits!$A$5:$A$204,0)),"Code inconnu"))</f>
        <v/>
      </c>
      <c r="D926" s="23"/>
      <c r="E926" s="24"/>
      <c r="F926" s="21" t="str">
        <f aca="false">IF(OR($B926="",$D926=""),"",IFERROR(IF($D926="Entrée",INDEX(Produits!$E$5:$E$204,MATCH($B926,Produits!$A$5:$A$204,0)),INDEX(Produits!$F$5:$F$204,MATCH($B926,Produits!$A$5:$A$204,0))),""))</f>
        <v/>
      </c>
      <c r="G926" s="21" t="str">
        <f aca="false">IF(OR($F926="",$E926=""),"",$E926*$F926)</f>
        <v/>
      </c>
      <c r="H926" s="21" t="str">
        <f aca="false">IF(AND($D926="Sortie",$B926&lt;&gt;"",$E926&lt;&gt;""),IFERROR($E926*INDEX(Produits!$E$5:$E$204,MATCH($B926,Produits!$A$5:$A$204,0)),""),"")</f>
        <v/>
      </c>
      <c r="I926" s="23"/>
    </row>
    <row r="927" customFormat="false" ht="15" hidden="false" customHeight="false" outlineLevel="0" collapsed="false">
      <c r="A927" s="27"/>
      <c r="B927" s="23"/>
      <c r="C927" s="26" t="str">
        <f aca="false">IF($B927="","",IFERROR(INDEX(Produits!$B$5:$B$204,MATCH($B927,Produits!$A$5:$A$204,0)),"Code inconnu"))</f>
        <v/>
      </c>
      <c r="D927" s="23"/>
      <c r="E927" s="24"/>
      <c r="F927" s="21" t="str">
        <f aca="false">IF(OR($B927="",$D927=""),"",IFERROR(IF($D927="Entrée",INDEX(Produits!$E$5:$E$204,MATCH($B927,Produits!$A$5:$A$204,0)),INDEX(Produits!$F$5:$F$204,MATCH($B927,Produits!$A$5:$A$204,0))),""))</f>
        <v/>
      </c>
      <c r="G927" s="21" t="str">
        <f aca="false">IF(OR($F927="",$E927=""),"",$E927*$F927)</f>
        <v/>
      </c>
      <c r="H927" s="21" t="str">
        <f aca="false">IF(AND($D927="Sortie",$B927&lt;&gt;"",$E927&lt;&gt;""),IFERROR($E927*INDEX(Produits!$E$5:$E$204,MATCH($B927,Produits!$A$5:$A$204,0)),""),"")</f>
        <v/>
      </c>
      <c r="I927" s="23"/>
    </row>
    <row r="928" customFormat="false" ht="15" hidden="false" customHeight="false" outlineLevel="0" collapsed="false">
      <c r="A928" s="27"/>
      <c r="B928" s="23"/>
      <c r="C928" s="26" t="str">
        <f aca="false">IF($B928="","",IFERROR(INDEX(Produits!$B$5:$B$204,MATCH($B928,Produits!$A$5:$A$204,0)),"Code inconnu"))</f>
        <v/>
      </c>
      <c r="D928" s="23"/>
      <c r="E928" s="24"/>
      <c r="F928" s="21" t="str">
        <f aca="false">IF(OR($B928="",$D928=""),"",IFERROR(IF($D928="Entrée",INDEX(Produits!$E$5:$E$204,MATCH($B928,Produits!$A$5:$A$204,0)),INDEX(Produits!$F$5:$F$204,MATCH($B928,Produits!$A$5:$A$204,0))),""))</f>
        <v/>
      </c>
      <c r="G928" s="21" t="str">
        <f aca="false">IF(OR($F928="",$E928=""),"",$E928*$F928)</f>
        <v/>
      </c>
      <c r="H928" s="21" t="str">
        <f aca="false">IF(AND($D928="Sortie",$B928&lt;&gt;"",$E928&lt;&gt;""),IFERROR($E928*INDEX(Produits!$E$5:$E$204,MATCH($B928,Produits!$A$5:$A$204,0)),""),"")</f>
        <v/>
      </c>
      <c r="I928" s="23"/>
    </row>
    <row r="929" customFormat="false" ht="15" hidden="false" customHeight="false" outlineLevel="0" collapsed="false">
      <c r="A929" s="27"/>
      <c r="B929" s="23"/>
      <c r="C929" s="26" t="str">
        <f aca="false">IF($B929="","",IFERROR(INDEX(Produits!$B$5:$B$204,MATCH($B929,Produits!$A$5:$A$204,0)),"Code inconnu"))</f>
        <v/>
      </c>
      <c r="D929" s="23"/>
      <c r="E929" s="24"/>
      <c r="F929" s="21" t="str">
        <f aca="false">IF(OR($B929="",$D929=""),"",IFERROR(IF($D929="Entrée",INDEX(Produits!$E$5:$E$204,MATCH($B929,Produits!$A$5:$A$204,0)),INDEX(Produits!$F$5:$F$204,MATCH($B929,Produits!$A$5:$A$204,0))),""))</f>
        <v/>
      </c>
      <c r="G929" s="21" t="str">
        <f aca="false">IF(OR($F929="",$E929=""),"",$E929*$F929)</f>
        <v/>
      </c>
      <c r="H929" s="21" t="str">
        <f aca="false">IF(AND($D929="Sortie",$B929&lt;&gt;"",$E929&lt;&gt;""),IFERROR($E929*INDEX(Produits!$E$5:$E$204,MATCH($B929,Produits!$A$5:$A$204,0)),""),"")</f>
        <v/>
      </c>
      <c r="I929" s="23"/>
    </row>
    <row r="930" customFormat="false" ht="15" hidden="false" customHeight="false" outlineLevel="0" collapsed="false">
      <c r="A930" s="27"/>
      <c r="B930" s="23"/>
      <c r="C930" s="26" t="str">
        <f aca="false">IF($B930="","",IFERROR(INDEX(Produits!$B$5:$B$204,MATCH($B930,Produits!$A$5:$A$204,0)),"Code inconnu"))</f>
        <v/>
      </c>
      <c r="D930" s="23"/>
      <c r="E930" s="24"/>
      <c r="F930" s="21" t="str">
        <f aca="false">IF(OR($B930="",$D930=""),"",IFERROR(IF($D930="Entrée",INDEX(Produits!$E$5:$E$204,MATCH($B930,Produits!$A$5:$A$204,0)),INDEX(Produits!$F$5:$F$204,MATCH($B930,Produits!$A$5:$A$204,0))),""))</f>
        <v/>
      </c>
      <c r="G930" s="21" t="str">
        <f aca="false">IF(OR($F930="",$E930=""),"",$E930*$F930)</f>
        <v/>
      </c>
      <c r="H930" s="21" t="str">
        <f aca="false">IF(AND($D930="Sortie",$B930&lt;&gt;"",$E930&lt;&gt;""),IFERROR($E930*INDEX(Produits!$E$5:$E$204,MATCH($B930,Produits!$A$5:$A$204,0)),""),"")</f>
        <v/>
      </c>
      <c r="I930" s="23"/>
    </row>
    <row r="931" customFormat="false" ht="15" hidden="false" customHeight="false" outlineLevel="0" collapsed="false">
      <c r="A931" s="27"/>
      <c r="B931" s="23"/>
      <c r="C931" s="26" t="str">
        <f aca="false">IF($B931="","",IFERROR(INDEX(Produits!$B$5:$B$204,MATCH($B931,Produits!$A$5:$A$204,0)),"Code inconnu"))</f>
        <v/>
      </c>
      <c r="D931" s="23"/>
      <c r="E931" s="24"/>
      <c r="F931" s="21" t="str">
        <f aca="false">IF(OR($B931="",$D931=""),"",IFERROR(IF($D931="Entrée",INDEX(Produits!$E$5:$E$204,MATCH($B931,Produits!$A$5:$A$204,0)),INDEX(Produits!$F$5:$F$204,MATCH($B931,Produits!$A$5:$A$204,0))),""))</f>
        <v/>
      </c>
      <c r="G931" s="21" t="str">
        <f aca="false">IF(OR($F931="",$E931=""),"",$E931*$F931)</f>
        <v/>
      </c>
      <c r="H931" s="21" t="str">
        <f aca="false">IF(AND($D931="Sortie",$B931&lt;&gt;"",$E931&lt;&gt;""),IFERROR($E931*INDEX(Produits!$E$5:$E$204,MATCH($B931,Produits!$A$5:$A$204,0)),""),"")</f>
        <v/>
      </c>
      <c r="I931" s="23"/>
    </row>
    <row r="932" customFormat="false" ht="15" hidden="false" customHeight="false" outlineLevel="0" collapsed="false">
      <c r="A932" s="27"/>
      <c r="B932" s="23"/>
      <c r="C932" s="26" t="str">
        <f aca="false">IF($B932="","",IFERROR(INDEX(Produits!$B$5:$B$204,MATCH($B932,Produits!$A$5:$A$204,0)),"Code inconnu"))</f>
        <v/>
      </c>
      <c r="D932" s="23"/>
      <c r="E932" s="24"/>
      <c r="F932" s="21" t="str">
        <f aca="false">IF(OR($B932="",$D932=""),"",IFERROR(IF($D932="Entrée",INDEX(Produits!$E$5:$E$204,MATCH($B932,Produits!$A$5:$A$204,0)),INDEX(Produits!$F$5:$F$204,MATCH($B932,Produits!$A$5:$A$204,0))),""))</f>
        <v/>
      </c>
      <c r="G932" s="21" t="str">
        <f aca="false">IF(OR($F932="",$E932=""),"",$E932*$F932)</f>
        <v/>
      </c>
      <c r="H932" s="21" t="str">
        <f aca="false">IF(AND($D932="Sortie",$B932&lt;&gt;"",$E932&lt;&gt;""),IFERROR($E932*INDEX(Produits!$E$5:$E$204,MATCH($B932,Produits!$A$5:$A$204,0)),""),"")</f>
        <v/>
      </c>
      <c r="I932" s="23"/>
    </row>
    <row r="933" customFormat="false" ht="15" hidden="false" customHeight="false" outlineLevel="0" collapsed="false">
      <c r="A933" s="27"/>
      <c r="B933" s="23"/>
      <c r="C933" s="26" t="str">
        <f aca="false">IF($B933="","",IFERROR(INDEX(Produits!$B$5:$B$204,MATCH($B933,Produits!$A$5:$A$204,0)),"Code inconnu"))</f>
        <v/>
      </c>
      <c r="D933" s="23"/>
      <c r="E933" s="24"/>
      <c r="F933" s="21" t="str">
        <f aca="false">IF(OR($B933="",$D933=""),"",IFERROR(IF($D933="Entrée",INDEX(Produits!$E$5:$E$204,MATCH($B933,Produits!$A$5:$A$204,0)),INDEX(Produits!$F$5:$F$204,MATCH($B933,Produits!$A$5:$A$204,0))),""))</f>
        <v/>
      </c>
      <c r="G933" s="21" t="str">
        <f aca="false">IF(OR($F933="",$E933=""),"",$E933*$F933)</f>
        <v/>
      </c>
      <c r="H933" s="21" t="str">
        <f aca="false">IF(AND($D933="Sortie",$B933&lt;&gt;"",$E933&lt;&gt;""),IFERROR($E933*INDEX(Produits!$E$5:$E$204,MATCH($B933,Produits!$A$5:$A$204,0)),""),"")</f>
        <v/>
      </c>
      <c r="I933" s="23"/>
    </row>
    <row r="934" customFormat="false" ht="15" hidden="false" customHeight="false" outlineLevel="0" collapsed="false">
      <c r="A934" s="27"/>
      <c r="B934" s="23"/>
      <c r="C934" s="26" t="str">
        <f aca="false">IF($B934="","",IFERROR(INDEX(Produits!$B$5:$B$204,MATCH($B934,Produits!$A$5:$A$204,0)),"Code inconnu"))</f>
        <v/>
      </c>
      <c r="D934" s="23"/>
      <c r="E934" s="24"/>
      <c r="F934" s="21" t="str">
        <f aca="false">IF(OR($B934="",$D934=""),"",IFERROR(IF($D934="Entrée",INDEX(Produits!$E$5:$E$204,MATCH($B934,Produits!$A$5:$A$204,0)),INDEX(Produits!$F$5:$F$204,MATCH($B934,Produits!$A$5:$A$204,0))),""))</f>
        <v/>
      </c>
      <c r="G934" s="21" t="str">
        <f aca="false">IF(OR($F934="",$E934=""),"",$E934*$F934)</f>
        <v/>
      </c>
      <c r="H934" s="21" t="str">
        <f aca="false">IF(AND($D934="Sortie",$B934&lt;&gt;"",$E934&lt;&gt;""),IFERROR($E934*INDEX(Produits!$E$5:$E$204,MATCH($B934,Produits!$A$5:$A$204,0)),""),"")</f>
        <v/>
      </c>
      <c r="I934" s="23"/>
    </row>
    <row r="935" customFormat="false" ht="15" hidden="false" customHeight="false" outlineLevel="0" collapsed="false">
      <c r="A935" s="27"/>
      <c r="B935" s="23"/>
      <c r="C935" s="26" t="str">
        <f aca="false">IF($B935="","",IFERROR(INDEX(Produits!$B$5:$B$204,MATCH($B935,Produits!$A$5:$A$204,0)),"Code inconnu"))</f>
        <v/>
      </c>
      <c r="D935" s="23"/>
      <c r="E935" s="24"/>
      <c r="F935" s="21" t="str">
        <f aca="false">IF(OR($B935="",$D935=""),"",IFERROR(IF($D935="Entrée",INDEX(Produits!$E$5:$E$204,MATCH($B935,Produits!$A$5:$A$204,0)),INDEX(Produits!$F$5:$F$204,MATCH($B935,Produits!$A$5:$A$204,0))),""))</f>
        <v/>
      </c>
      <c r="G935" s="21" t="str">
        <f aca="false">IF(OR($F935="",$E935=""),"",$E935*$F935)</f>
        <v/>
      </c>
      <c r="H935" s="21" t="str">
        <f aca="false">IF(AND($D935="Sortie",$B935&lt;&gt;"",$E935&lt;&gt;""),IFERROR($E935*INDEX(Produits!$E$5:$E$204,MATCH($B935,Produits!$A$5:$A$204,0)),""),"")</f>
        <v/>
      </c>
      <c r="I935" s="23"/>
    </row>
    <row r="936" customFormat="false" ht="15" hidden="false" customHeight="false" outlineLevel="0" collapsed="false">
      <c r="A936" s="27"/>
      <c r="B936" s="23"/>
      <c r="C936" s="26" t="str">
        <f aca="false">IF($B936="","",IFERROR(INDEX(Produits!$B$5:$B$204,MATCH($B936,Produits!$A$5:$A$204,0)),"Code inconnu"))</f>
        <v/>
      </c>
      <c r="D936" s="23"/>
      <c r="E936" s="24"/>
      <c r="F936" s="21" t="str">
        <f aca="false">IF(OR($B936="",$D936=""),"",IFERROR(IF($D936="Entrée",INDEX(Produits!$E$5:$E$204,MATCH($B936,Produits!$A$5:$A$204,0)),INDEX(Produits!$F$5:$F$204,MATCH($B936,Produits!$A$5:$A$204,0))),""))</f>
        <v/>
      </c>
      <c r="G936" s="21" t="str">
        <f aca="false">IF(OR($F936="",$E936=""),"",$E936*$F936)</f>
        <v/>
      </c>
      <c r="H936" s="21" t="str">
        <f aca="false">IF(AND($D936="Sortie",$B936&lt;&gt;"",$E936&lt;&gt;""),IFERROR($E936*INDEX(Produits!$E$5:$E$204,MATCH($B936,Produits!$A$5:$A$204,0)),""),"")</f>
        <v/>
      </c>
      <c r="I936" s="23"/>
    </row>
    <row r="937" customFormat="false" ht="15" hidden="false" customHeight="false" outlineLevel="0" collapsed="false">
      <c r="A937" s="27"/>
      <c r="B937" s="23"/>
      <c r="C937" s="26" t="str">
        <f aca="false">IF($B937="","",IFERROR(INDEX(Produits!$B$5:$B$204,MATCH($B937,Produits!$A$5:$A$204,0)),"Code inconnu"))</f>
        <v/>
      </c>
      <c r="D937" s="23"/>
      <c r="E937" s="24"/>
      <c r="F937" s="21" t="str">
        <f aca="false">IF(OR($B937="",$D937=""),"",IFERROR(IF($D937="Entrée",INDEX(Produits!$E$5:$E$204,MATCH($B937,Produits!$A$5:$A$204,0)),INDEX(Produits!$F$5:$F$204,MATCH($B937,Produits!$A$5:$A$204,0))),""))</f>
        <v/>
      </c>
      <c r="G937" s="21" t="str">
        <f aca="false">IF(OR($F937="",$E937=""),"",$E937*$F937)</f>
        <v/>
      </c>
      <c r="H937" s="21" t="str">
        <f aca="false">IF(AND($D937="Sortie",$B937&lt;&gt;"",$E937&lt;&gt;""),IFERROR($E937*INDEX(Produits!$E$5:$E$204,MATCH($B937,Produits!$A$5:$A$204,0)),""),"")</f>
        <v/>
      </c>
      <c r="I937" s="23"/>
    </row>
    <row r="938" customFormat="false" ht="15" hidden="false" customHeight="false" outlineLevel="0" collapsed="false">
      <c r="A938" s="27"/>
      <c r="B938" s="23"/>
      <c r="C938" s="26" t="str">
        <f aca="false">IF($B938="","",IFERROR(INDEX(Produits!$B$5:$B$204,MATCH($B938,Produits!$A$5:$A$204,0)),"Code inconnu"))</f>
        <v/>
      </c>
      <c r="D938" s="23"/>
      <c r="E938" s="24"/>
      <c r="F938" s="21" t="str">
        <f aca="false">IF(OR($B938="",$D938=""),"",IFERROR(IF($D938="Entrée",INDEX(Produits!$E$5:$E$204,MATCH($B938,Produits!$A$5:$A$204,0)),INDEX(Produits!$F$5:$F$204,MATCH($B938,Produits!$A$5:$A$204,0))),""))</f>
        <v/>
      </c>
      <c r="G938" s="21" t="str">
        <f aca="false">IF(OR($F938="",$E938=""),"",$E938*$F938)</f>
        <v/>
      </c>
      <c r="H938" s="21" t="str">
        <f aca="false">IF(AND($D938="Sortie",$B938&lt;&gt;"",$E938&lt;&gt;""),IFERROR($E938*INDEX(Produits!$E$5:$E$204,MATCH($B938,Produits!$A$5:$A$204,0)),""),"")</f>
        <v/>
      </c>
      <c r="I938" s="23"/>
    </row>
    <row r="939" customFormat="false" ht="15" hidden="false" customHeight="false" outlineLevel="0" collapsed="false">
      <c r="A939" s="27"/>
      <c r="B939" s="23"/>
      <c r="C939" s="26" t="str">
        <f aca="false">IF($B939="","",IFERROR(INDEX(Produits!$B$5:$B$204,MATCH($B939,Produits!$A$5:$A$204,0)),"Code inconnu"))</f>
        <v/>
      </c>
      <c r="D939" s="23"/>
      <c r="E939" s="24"/>
      <c r="F939" s="21" t="str">
        <f aca="false">IF(OR($B939="",$D939=""),"",IFERROR(IF($D939="Entrée",INDEX(Produits!$E$5:$E$204,MATCH($B939,Produits!$A$5:$A$204,0)),INDEX(Produits!$F$5:$F$204,MATCH($B939,Produits!$A$5:$A$204,0))),""))</f>
        <v/>
      </c>
      <c r="G939" s="21" t="str">
        <f aca="false">IF(OR($F939="",$E939=""),"",$E939*$F939)</f>
        <v/>
      </c>
      <c r="H939" s="21" t="str">
        <f aca="false">IF(AND($D939="Sortie",$B939&lt;&gt;"",$E939&lt;&gt;""),IFERROR($E939*INDEX(Produits!$E$5:$E$204,MATCH($B939,Produits!$A$5:$A$204,0)),""),"")</f>
        <v/>
      </c>
      <c r="I939" s="23"/>
    </row>
    <row r="940" customFormat="false" ht="15" hidden="false" customHeight="false" outlineLevel="0" collapsed="false">
      <c r="A940" s="27"/>
      <c r="B940" s="23"/>
      <c r="C940" s="26" t="str">
        <f aca="false">IF($B940="","",IFERROR(INDEX(Produits!$B$5:$B$204,MATCH($B940,Produits!$A$5:$A$204,0)),"Code inconnu"))</f>
        <v/>
      </c>
      <c r="D940" s="23"/>
      <c r="E940" s="24"/>
      <c r="F940" s="21" t="str">
        <f aca="false">IF(OR($B940="",$D940=""),"",IFERROR(IF($D940="Entrée",INDEX(Produits!$E$5:$E$204,MATCH($B940,Produits!$A$5:$A$204,0)),INDEX(Produits!$F$5:$F$204,MATCH($B940,Produits!$A$5:$A$204,0))),""))</f>
        <v/>
      </c>
      <c r="G940" s="21" t="str">
        <f aca="false">IF(OR($F940="",$E940=""),"",$E940*$F940)</f>
        <v/>
      </c>
      <c r="H940" s="21" t="str">
        <f aca="false">IF(AND($D940="Sortie",$B940&lt;&gt;"",$E940&lt;&gt;""),IFERROR($E940*INDEX(Produits!$E$5:$E$204,MATCH($B940,Produits!$A$5:$A$204,0)),""),"")</f>
        <v/>
      </c>
      <c r="I940" s="23"/>
    </row>
    <row r="941" customFormat="false" ht="15" hidden="false" customHeight="false" outlineLevel="0" collapsed="false">
      <c r="A941" s="27"/>
      <c r="B941" s="23"/>
      <c r="C941" s="26" t="str">
        <f aca="false">IF($B941="","",IFERROR(INDEX(Produits!$B$5:$B$204,MATCH($B941,Produits!$A$5:$A$204,0)),"Code inconnu"))</f>
        <v/>
      </c>
      <c r="D941" s="23"/>
      <c r="E941" s="24"/>
      <c r="F941" s="21" t="str">
        <f aca="false">IF(OR($B941="",$D941=""),"",IFERROR(IF($D941="Entrée",INDEX(Produits!$E$5:$E$204,MATCH($B941,Produits!$A$5:$A$204,0)),INDEX(Produits!$F$5:$F$204,MATCH($B941,Produits!$A$5:$A$204,0))),""))</f>
        <v/>
      </c>
      <c r="G941" s="21" t="str">
        <f aca="false">IF(OR($F941="",$E941=""),"",$E941*$F941)</f>
        <v/>
      </c>
      <c r="H941" s="21" t="str">
        <f aca="false">IF(AND($D941="Sortie",$B941&lt;&gt;"",$E941&lt;&gt;""),IFERROR($E941*INDEX(Produits!$E$5:$E$204,MATCH($B941,Produits!$A$5:$A$204,0)),""),"")</f>
        <v/>
      </c>
      <c r="I941" s="23"/>
    </row>
    <row r="942" customFormat="false" ht="15" hidden="false" customHeight="false" outlineLevel="0" collapsed="false">
      <c r="A942" s="27"/>
      <c r="B942" s="23"/>
      <c r="C942" s="26" t="str">
        <f aca="false">IF($B942="","",IFERROR(INDEX(Produits!$B$5:$B$204,MATCH($B942,Produits!$A$5:$A$204,0)),"Code inconnu"))</f>
        <v/>
      </c>
      <c r="D942" s="23"/>
      <c r="E942" s="24"/>
      <c r="F942" s="21" t="str">
        <f aca="false">IF(OR($B942="",$D942=""),"",IFERROR(IF($D942="Entrée",INDEX(Produits!$E$5:$E$204,MATCH($B942,Produits!$A$5:$A$204,0)),INDEX(Produits!$F$5:$F$204,MATCH($B942,Produits!$A$5:$A$204,0))),""))</f>
        <v/>
      </c>
      <c r="G942" s="21" t="str">
        <f aca="false">IF(OR($F942="",$E942=""),"",$E942*$F942)</f>
        <v/>
      </c>
      <c r="H942" s="21" t="str">
        <f aca="false">IF(AND($D942="Sortie",$B942&lt;&gt;"",$E942&lt;&gt;""),IFERROR($E942*INDEX(Produits!$E$5:$E$204,MATCH($B942,Produits!$A$5:$A$204,0)),""),"")</f>
        <v/>
      </c>
      <c r="I942" s="23"/>
    </row>
    <row r="943" customFormat="false" ht="15" hidden="false" customHeight="false" outlineLevel="0" collapsed="false">
      <c r="A943" s="27"/>
      <c r="B943" s="23"/>
      <c r="C943" s="26" t="str">
        <f aca="false">IF($B943="","",IFERROR(INDEX(Produits!$B$5:$B$204,MATCH($B943,Produits!$A$5:$A$204,0)),"Code inconnu"))</f>
        <v/>
      </c>
      <c r="D943" s="23"/>
      <c r="E943" s="24"/>
      <c r="F943" s="21" t="str">
        <f aca="false">IF(OR($B943="",$D943=""),"",IFERROR(IF($D943="Entrée",INDEX(Produits!$E$5:$E$204,MATCH($B943,Produits!$A$5:$A$204,0)),INDEX(Produits!$F$5:$F$204,MATCH($B943,Produits!$A$5:$A$204,0))),""))</f>
        <v/>
      </c>
      <c r="G943" s="21" t="str">
        <f aca="false">IF(OR($F943="",$E943=""),"",$E943*$F943)</f>
        <v/>
      </c>
      <c r="H943" s="21" t="str">
        <f aca="false">IF(AND($D943="Sortie",$B943&lt;&gt;"",$E943&lt;&gt;""),IFERROR($E943*INDEX(Produits!$E$5:$E$204,MATCH($B943,Produits!$A$5:$A$204,0)),""),"")</f>
        <v/>
      </c>
      <c r="I943" s="23"/>
    </row>
    <row r="944" customFormat="false" ht="15" hidden="false" customHeight="false" outlineLevel="0" collapsed="false">
      <c r="A944" s="27"/>
      <c r="B944" s="23"/>
      <c r="C944" s="26" t="str">
        <f aca="false">IF($B944="","",IFERROR(INDEX(Produits!$B$5:$B$204,MATCH($B944,Produits!$A$5:$A$204,0)),"Code inconnu"))</f>
        <v/>
      </c>
      <c r="D944" s="23"/>
      <c r="E944" s="24"/>
      <c r="F944" s="21" t="str">
        <f aca="false">IF(OR($B944="",$D944=""),"",IFERROR(IF($D944="Entrée",INDEX(Produits!$E$5:$E$204,MATCH($B944,Produits!$A$5:$A$204,0)),INDEX(Produits!$F$5:$F$204,MATCH($B944,Produits!$A$5:$A$204,0))),""))</f>
        <v/>
      </c>
      <c r="G944" s="21" t="str">
        <f aca="false">IF(OR($F944="",$E944=""),"",$E944*$F944)</f>
        <v/>
      </c>
      <c r="H944" s="21" t="str">
        <f aca="false">IF(AND($D944="Sortie",$B944&lt;&gt;"",$E944&lt;&gt;""),IFERROR($E944*INDEX(Produits!$E$5:$E$204,MATCH($B944,Produits!$A$5:$A$204,0)),""),"")</f>
        <v/>
      </c>
      <c r="I944" s="23"/>
    </row>
    <row r="945" customFormat="false" ht="15" hidden="false" customHeight="false" outlineLevel="0" collapsed="false">
      <c r="A945" s="27"/>
      <c r="B945" s="23"/>
      <c r="C945" s="26" t="str">
        <f aca="false">IF($B945="","",IFERROR(INDEX(Produits!$B$5:$B$204,MATCH($B945,Produits!$A$5:$A$204,0)),"Code inconnu"))</f>
        <v/>
      </c>
      <c r="D945" s="23"/>
      <c r="E945" s="24"/>
      <c r="F945" s="21" t="str">
        <f aca="false">IF(OR($B945="",$D945=""),"",IFERROR(IF($D945="Entrée",INDEX(Produits!$E$5:$E$204,MATCH($B945,Produits!$A$5:$A$204,0)),INDEX(Produits!$F$5:$F$204,MATCH($B945,Produits!$A$5:$A$204,0))),""))</f>
        <v/>
      </c>
      <c r="G945" s="21" t="str">
        <f aca="false">IF(OR($F945="",$E945=""),"",$E945*$F945)</f>
        <v/>
      </c>
      <c r="H945" s="21" t="str">
        <f aca="false">IF(AND($D945="Sortie",$B945&lt;&gt;"",$E945&lt;&gt;""),IFERROR($E945*INDEX(Produits!$E$5:$E$204,MATCH($B945,Produits!$A$5:$A$204,0)),""),"")</f>
        <v/>
      </c>
      <c r="I945" s="23"/>
    </row>
    <row r="946" customFormat="false" ht="15" hidden="false" customHeight="false" outlineLevel="0" collapsed="false">
      <c r="A946" s="27"/>
      <c r="B946" s="23"/>
      <c r="C946" s="26" t="str">
        <f aca="false">IF($B946="","",IFERROR(INDEX(Produits!$B$5:$B$204,MATCH($B946,Produits!$A$5:$A$204,0)),"Code inconnu"))</f>
        <v/>
      </c>
      <c r="D946" s="23"/>
      <c r="E946" s="24"/>
      <c r="F946" s="21" t="str">
        <f aca="false">IF(OR($B946="",$D946=""),"",IFERROR(IF($D946="Entrée",INDEX(Produits!$E$5:$E$204,MATCH($B946,Produits!$A$5:$A$204,0)),INDEX(Produits!$F$5:$F$204,MATCH($B946,Produits!$A$5:$A$204,0))),""))</f>
        <v/>
      </c>
      <c r="G946" s="21" t="str">
        <f aca="false">IF(OR($F946="",$E946=""),"",$E946*$F946)</f>
        <v/>
      </c>
      <c r="H946" s="21" t="str">
        <f aca="false">IF(AND($D946="Sortie",$B946&lt;&gt;"",$E946&lt;&gt;""),IFERROR($E946*INDEX(Produits!$E$5:$E$204,MATCH($B946,Produits!$A$5:$A$204,0)),""),"")</f>
        <v/>
      </c>
      <c r="I946" s="23"/>
    </row>
    <row r="947" customFormat="false" ht="15" hidden="false" customHeight="false" outlineLevel="0" collapsed="false">
      <c r="A947" s="27"/>
      <c r="B947" s="23"/>
      <c r="C947" s="26" t="str">
        <f aca="false">IF($B947="","",IFERROR(INDEX(Produits!$B$5:$B$204,MATCH($B947,Produits!$A$5:$A$204,0)),"Code inconnu"))</f>
        <v/>
      </c>
      <c r="D947" s="23"/>
      <c r="E947" s="24"/>
      <c r="F947" s="21" t="str">
        <f aca="false">IF(OR($B947="",$D947=""),"",IFERROR(IF($D947="Entrée",INDEX(Produits!$E$5:$E$204,MATCH($B947,Produits!$A$5:$A$204,0)),INDEX(Produits!$F$5:$F$204,MATCH($B947,Produits!$A$5:$A$204,0))),""))</f>
        <v/>
      </c>
      <c r="G947" s="21" t="str">
        <f aca="false">IF(OR($F947="",$E947=""),"",$E947*$F947)</f>
        <v/>
      </c>
      <c r="H947" s="21" t="str">
        <f aca="false">IF(AND($D947="Sortie",$B947&lt;&gt;"",$E947&lt;&gt;""),IFERROR($E947*INDEX(Produits!$E$5:$E$204,MATCH($B947,Produits!$A$5:$A$204,0)),""),"")</f>
        <v/>
      </c>
      <c r="I947" s="23"/>
    </row>
    <row r="948" customFormat="false" ht="15" hidden="false" customHeight="false" outlineLevel="0" collapsed="false">
      <c r="A948" s="27"/>
      <c r="B948" s="23"/>
      <c r="C948" s="26" t="str">
        <f aca="false">IF($B948="","",IFERROR(INDEX(Produits!$B$5:$B$204,MATCH($B948,Produits!$A$5:$A$204,0)),"Code inconnu"))</f>
        <v/>
      </c>
      <c r="D948" s="23"/>
      <c r="E948" s="24"/>
      <c r="F948" s="21" t="str">
        <f aca="false">IF(OR($B948="",$D948=""),"",IFERROR(IF($D948="Entrée",INDEX(Produits!$E$5:$E$204,MATCH($B948,Produits!$A$5:$A$204,0)),INDEX(Produits!$F$5:$F$204,MATCH($B948,Produits!$A$5:$A$204,0))),""))</f>
        <v/>
      </c>
      <c r="G948" s="21" t="str">
        <f aca="false">IF(OR($F948="",$E948=""),"",$E948*$F948)</f>
        <v/>
      </c>
      <c r="H948" s="21" t="str">
        <f aca="false">IF(AND($D948="Sortie",$B948&lt;&gt;"",$E948&lt;&gt;""),IFERROR($E948*INDEX(Produits!$E$5:$E$204,MATCH($B948,Produits!$A$5:$A$204,0)),""),"")</f>
        <v/>
      </c>
      <c r="I948" s="23"/>
    </row>
    <row r="949" customFormat="false" ht="15" hidden="false" customHeight="false" outlineLevel="0" collapsed="false">
      <c r="A949" s="27"/>
      <c r="B949" s="23"/>
      <c r="C949" s="26" t="str">
        <f aca="false">IF($B949="","",IFERROR(INDEX(Produits!$B$5:$B$204,MATCH($B949,Produits!$A$5:$A$204,0)),"Code inconnu"))</f>
        <v/>
      </c>
      <c r="D949" s="23"/>
      <c r="E949" s="24"/>
      <c r="F949" s="21" t="str">
        <f aca="false">IF(OR($B949="",$D949=""),"",IFERROR(IF($D949="Entrée",INDEX(Produits!$E$5:$E$204,MATCH($B949,Produits!$A$5:$A$204,0)),INDEX(Produits!$F$5:$F$204,MATCH($B949,Produits!$A$5:$A$204,0))),""))</f>
        <v/>
      </c>
      <c r="G949" s="21" t="str">
        <f aca="false">IF(OR($F949="",$E949=""),"",$E949*$F949)</f>
        <v/>
      </c>
      <c r="H949" s="21" t="str">
        <f aca="false">IF(AND($D949="Sortie",$B949&lt;&gt;"",$E949&lt;&gt;""),IFERROR($E949*INDEX(Produits!$E$5:$E$204,MATCH($B949,Produits!$A$5:$A$204,0)),""),"")</f>
        <v/>
      </c>
      <c r="I949" s="23"/>
    </row>
    <row r="950" customFormat="false" ht="15" hidden="false" customHeight="false" outlineLevel="0" collapsed="false">
      <c r="A950" s="27"/>
      <c r="B950" s="23"/>
      <c r="C950" s="26" t="str">
        <f aca="false">IF($B950="","",IFERROR(INDEX(Produits!$B$5:$B$204,MATCH($B950,Produits!$A$5:$A$204,0)),"Code inconnu"))</f>
        <v/>
      </c>
      <c r="D950" s="23"/>
      <c r="E950" s="24"/>
      <c r="F950" s="21" t="str">
        <f aca="false">IF(OR($B950="",$D950=""),"",IFERROR(IF($D950="Entrée",INDEX(Produits!$E$5:$E$204,MATCH($B950,Produits!$A$5:$A$204,0)),INDEX(Produits!$F$5:$F$204,MATCH($B950,Produits!$A$5:$A$204,0))),""))</f>
        <v/>
      </c>
      <c r="G950" s="21" t="str">
        <f aca="false">IF(OR($F950="",$E950=""),"",$E950*$F950)</f>
        <v/>
      </c>
      <c r="H950" s="21" t="str">
        <f aca="false">IF(AND($D950="Sortie",$B950&lt;&gt;"",$E950&lt;&gt;""),IFERROR($E950*INDEX(Produits!$E$5:$E$204,MATCH($B950,Produits!$A$5:$A$204,0)),""),"")</f>
        <v/>
      </c>
      <c r="I950" s="23"/>
    </row>
    <row r="951" customFormat="false" ht="15" hidden="false" customHeight="false" outlineLevel="0" collapsed="false">
      <c r="A951" s="27"/>
      <c r="B951" s="23"/>
      <c r="C951" s="26" t="str">
        <f aca="false">IF($B951="","",IFERROR(INDEX(Produits!$B$5:$B$204,MATCH($B951,Produits!$A$5:$A$204,0)),"Code inconnu"))</f>
        <v/>
      </c>
      <c r="D951" s="23"/>
      <c r="E951" s="24"/>
      <c r="F951" s="21" t="str">
        <f aca="false">IF(OR($B951="",$D951=""),"",IFERROR(IF($D951="Entrée",INDEX(Produits!$E$5:$E$204,MATCH($B951,Produits!$A$5:$A$204,0)),INDEX(Produits!$F$5:$F$204,MATCH($B951,Produits!$A$5:$A$204,0))),""))</f>
        <v/>
      </c>
      <c r="G951" s="21" t="str">
        <f aca="false">IF(OR($F951="",$E951=""),"",$E951*$F951)</f>
        <v/>
      </c>
      <c r="H951" s="21" t="str">
        <f aca="false">IF(AND($D951="Sortie",$B951&lt;&gt;"",$E951&lt;&gt;""),IFERROR($E951*INDEX(Produits!$E$5:$E$204,MATCH($B951,Produits!$A$5:$A$204,0)),""),"")</f>
        <v/>
      </c>
      <c r="I951" s="23"/>
    </row>
    <row r="952" customFormat="false" ht="15" hidden="false" customHeight="false" outlineLevel="0" collapsed="false">
      <c r="A952" s="27"/>
      <c r="B952" s="23"/>
      <c r="C952" s="26" t="str">
        <f aca="false">IF($B952="","",IFERROR(INDEX(Produits!$B$5:$B$204,MATCH($B952,Produits!$A$5:$A$204,0)),"Code inconnu"))</f>
        <v/>
      </c>
      <c r="D952" s="23"/>
      <c r="E952" s="24"/>
      <c r="F952" s="21" t="str">
        <f aca="false">IF(OR($B952="",$D952=""),"",IFERROR(IF($D952="Entrée",INDEX(Produits!$E$5:$E$204,MATCH($B952,Produits!$A$5:$A$204,0)),INDEX(Produits!$F$5:$F$204,MATCH($B952,Produits!$A$5:$A$204,0))),""))</f>
        <v/>
      </c>
      <c r="G952" s="21" t="str">
        <f aca="false">IF(OR($F952="",$E952=""),"",$E952*$F952)</f>
        <v/>
      </c>
      <c r="H952" s="21" t="str">
        <f aca="false">IF(AND($D952="Sortie",$B952&lt;&gt;"",$E952&lt;&gt;""),IFERROR($E952*INDEX(Produits!$E$5:$E$204,MATCH($B952,Produits!$A$5:$A$204,0)),""),"")</f>
        <v/>
      </c>
      <c r="I952" s="23"/>
    </row>
    <row r="953" customFormat="false" ht="15" hidden="false" customHeight="false" outlineLevel="0" collapsed="false">
      <c r="A953" s="27"/>
      <c r="B953" s="23"/>
      <c r="C953" s="26" t="str">
        <f aca="false">IF($B953="","",IFERROR(INDEX(Produits!$B$5:$B$204,MATCH($B953,Produits!$A$5:$A$204,0)),"Code inconnu"))</f>
        <v/>
      </c>
      <c r="D953" s="23"/>
      <c r="E953" s="24"/>
      <c r="F953" s="21" t="str">
        <f aca="false">IF(OR($B953="",$D953=""),"",IFERROR(IF($D953="Entrée",INDEX(Produits!$E$5:$E$204,MATCH($B953,Produits!$A$5:$A$204,0)),INDEX(Produits!$F$5:$F$204,MATCH($B953,Produits!$A$5:$A$204,0))),""))</f>
        <v/>
      </c>
      <c r="G953" s="21" t="str">
        <f aca="false">IF(OR($F953="",$E953=""),"",$E953*$F953)</f>
        <v/>
      </c>
      <c r="H953" s="21" t="str">
        <f aca="false">IF(AND($D953="Sortie",$B953&lt;&gt;"",$E953&lt;&gt;""),IFERROR($E953*INDEX(Produits!$E$5:$E$204,MATCH($B953,Produits!$A$5:$A$204,0)),""),"")</f>
        <v/>
      </c>
      <c r="I953" s="23"/>
    </row>
    <row r="954" customFormat="false" ht="15" hidden="false" customHeight="false" outlineLevel="0" collapsed="false">
      <c r="A954" s="27"/>
      <c r="B954" s="23"/>
      <c r="C954" s="26" t="str">
        <f aca="false">IF($B954="","",IFERROR(INDEX(Produits!$B$5:$B$204,MATCH($B954,Produits!$A$5:$A$204,0)),"Code inconnu"))</f>
        <v/>
      </c>
      <c r="D954" s="23"/>
      <c r="E954" s="24"/>
      <c r="F954" s="21" t="str">
        <f aca="false">IF(OR($B954="",$D954=""),"",IFERROR(IF($D954="Entrée",INDEX(Produits!$E$5:$E$204,MATCH($B954,Produits!$A$5:$A$204,0)),INDEX(Produits!$F$5:$F$204,MATCH($B954,Produits!$A$5:$A$204,0))),""))</f>
        <v/>
      </c>
      <c r="G954" s="21" t="str">
        <f aca="false">IF(OR($F954="",$E954=""),"",$E954*$F954)</f>
        <v/>
      </c>
      <c r="H954" s="21" t="str">
        <f aca="false">IF(AND($D954="Sortie",$B954&lt;&gt;"",$E954&lt;&gt;""),IFERROR($E954*INDEX(Produits!$E$5:$E$204,MATCH($B954,Produits!$A$5:$A$204,0)),""),"")</f>
        <v/>
      </c>
      <c r="I954" s="23"/>
    </row>
    <row r="955" customFormat="false" ht="15" hidden="false" customHeight="false" outlineLevel="0" collapsed="false">
      <c r="A955" s="27"/>
      <c r="B955" s="23"/>
      <c r="C955" s="26" t="str">
        <f aca="false">IF($B955="","",IFERROR(INDEX(Produits!$B$5:$B$204,MATCH($B955,Produits!$A$5:$A$204,0)),"Code inconnu"))</f>
        <v/>
      </c>
      <c r="D955" s="23"/>
      <c r="E955" s="24"/>
      <c r="F955" s="21" t="str">
        <f aca="false">IF(OR($B955="",$D955=""),"",IFERROR(IF($D955="Entrée",INDEX(Produits!$E$5:$E$204,MATCH($B955,Produits!$A$5:$A$204,0)),INDEX(Produits!$F$5:$F$204,MATCH($B955,Produits!$A$5:$A$204,0))),""))</f>
        <v/>
      </c>
      <c r="G955" s="21" t="str">
        <f aca="false">IF(OR($F955="",$E955=""),"",$E955*$F955)</f>
        <v/>
      </c>
      <c r="H955" s="21" t="str">
        <f aca="false">IF(AND($D955="Sortie",$B955&lt;&gt;"",$E955&lt;&gt;""),IFERROR($E955*INDEX(Produits!$E$5:$E$204,MATCH($B955,Produits!$A$5:$A$204,0)),""),"")</f>
        <v/>
      </c>
      <c r="I955" s="23"/>
    </row>
    <row r="956" customFormat="false" ht="15" hidden="false" customHeight="false" outlineLevel="0" collapsed="false">
      <c r="A956" s="27"/>
      <c r="B956" s="23"/>
      <c r="C956" s="26" t="str">
        <f aca="false">IF($B956="","",IFERROR(INDEX(Produits!$B$5:$B$204,MATCH($B956,Produits!$A$5:$A$204,0)),"Code inconnu"))</f>
        <v/>
      </c>
      <c r="D956" s="23"/>
      <c r="E956" s="24"/>
      <c r="F956" s="21" t="str">
        <f aca="false">IF(OR($B956="",$D956=""),"",IFERROR(IF($D956="Entrée",INDEX(Produits!$E$5:$E$204,MATCH($B956,Produits!$A$5:$A$204,0)),INDEX(Produits!$F$5:$F$204,MATCH($B956,Produits!$A$5:$A$204,0))),""))</f>
        <v/>
      </c>
      <c r="G956" s="21" t="str">
        <f aca="false">IF(OR($F956="",$E956=""),"",$E956*$F956)</f>
        <v/>
      </c>
      <c r="H956" s="21" t="str">
        <f aca="false">IF(AND($D956="Sortie",$B956&lt;&gt;"",$E956&lt;&gt;""),IFERROR($E956*INDEX(Produits!$E$5:$E$204,MATCH($B956,Produits!$A$5:$A$204,0)),""),"")</f>
        <v/>
      </c>
      <c r="I956" s="23"/>
    </row>
    <row r="957" customFormat="false" ht="15" hidden="false" customHeight="false" outlineLevel="0" collapsed="false">
      <c r="A957" s="27"/>
      <c r="B957" s="23"/>
      <c r="C957" s="26" t="str">
        <f aca="false">IF($B957="","",IFERROR(INDEX(Produits!$B$5:$B$204,MATCH($B957,Produits!$A$5:$A$204,0)),"Code inconnu"))</f>
        <v/>
      </c>
      <c r="D957" s="23"/>
      <c r="E957" s="24"/>
      <c r="F957" s="21" t="str">
        <f aca="false">IF(OR($B957="",$D957=""),"",IFERROR(IF($D957="Entrée",INDEX(Produits!$E$5:$E$204,MATCH($B957,Produits!$A$5:$A$204,0)),INDEX(Produits!$F$5:$F$204,MATCH($B957,Produits!$A$5:$A$204,0))),""))</f>
        <v/>
      </c>
      <c r="G957" s="21" t="str">
        <f aca="false">IF(OR($F957="",$E957=""),"",$E957*$F957)</f>
        <v/>
      </c>
      <c r="H957" s="21" t="str">
        <f aca="false">IF(AND($D957="Sortie",$B957&lt;&gt;"",$E957&lt;&gt;""),IFERROR($E957*INDEX(Produits!$E$5:$E$204,MATCH($B957,Produits!$A$5:$A$204,0)),""),"")</f>
        <v/>
      </c>
      <c r="I957" s="23"/>
    </row>
    <row r="958" customFormat="false" ht="15" hidden="false" customHeight="false" outlineLevel="0" collapsed="false">
      <c r="A958" s="27"/>
      <c r="B958" s="23"/>
      <c r="C958" s="26" t="str">
        <f aca="false">IF($B958="","",IFERROR(INDEX(Produits!$B$5:$B$204,MATCH($B958,Produits!$A$5:$A$204,0)),"Code inconnu"))</f>
        <v/>
      </c>
      <c r="D958" s="23"/>
      <c r="E958" s="24"/>
      <c r="F958" s="21" t="str">
        <f aca="false">IF(OR($B958="",$D958=""),"",IFERROR(IF($D958="Entrée",INDEX(Produits!$E$5:$E$204,MATCH($B958,Produits!$A$5:$A$204,0)),INDEX(Produits!$F$5:$F$204,MATCH($B958,Produits!$A$5:$A$204,0))),""))</f>
        <v/>
      </c>
      <c r="G958" s="21" t="str">
        <f aca="false">IF(OR($F958="",$E958=""),"",$E958*$F958)</f>
        <v/>
      </c>
      <c r="H958" s="21" t="str">
        <f aca="false">IF(AND($D958="Sortie",$B958&lt;&gt;"",$E958&lt;&gt;""),IFERROR($E958*INDEX(Produits!$E$5:$E$204,MATCH($B958,Produits!$A$5:$A$204,0)),""),"")</f>
        <v/>
      </c>
      <c r="I958" s="23"/>
    </row>
    <row r="959" customFormat="false" ht="15" hidden="false" customHeight="false" outlineLevel="0" collapsed="false">
      <c r="A959" s="27"/>
      <c r="B959" s="23"/>
      <c r="C959" s="26" t="str">
        <f aca="false">IF($B959="","",IFERROR(INDEX(Produits!$B$5:$B$204,MATCH($B959,Produits!$A$5:$A$204,0)),"Code inconnu"))</f>
        <v/>
      </c>
      <c r="D959" s="23"/>
      <c r="E959" s="24"/>
      <c r="F959" s="21" t="str">
        <f aca="false">IF(OR($B959="",$D959=""),"",IFERROR(IF($D959="Entrée",INDEX(Produits!$E$5:$E$204,MATCH($B959,Produits!$A$5:$A$204,0)),INDEX(Produits!$F$5:$F$204,MATCH($B959,Produits!$A$5:$A$204,0))),""))</f>
        <v/>
      </c>
      <c r="G959" s="21" t="str">
        <f aca="false">IF(OR($F959="",$E959=""),"",$E959*$F959)</f>
        <v/>
      </c>
      <c r="H959" s="21" t="str">
        <f aca="false">IF(AND($D959="Sortie",$B959&lt;&gt;"",$E959&lt;&gt;""),IFERROR($E959*INDEX(Produits!$E$5:$E$204,MATCH($B959,Produits!$A$5:$A$204,0)),""),"")</f>
        <v/>
      </c>
      <c r="I959" s="23"/>
    </row>
    <row r="960" customFormat="false" ht="15" hidden="false" customHeight="false" outlineLevel="0" collapsed="false">
      <c r="A960" s="27"/>
      <c r="B960" s="23"/>
      <c r="C960" s="26" t="str">
        <f aca="false">IF($B960="","",IFERROR(INDEX(Produits!$B$5:$B$204,MATCH($B960,Produits!$A$5:$A$204,0)),"Code inconnu"))</f>
        <v/>
      </c>
      <c r="D960" s="23"/>
      <c r="E960" s="24"/>
      <c r="F960" s="21" t="str">
        <f aca="false">IF(OR($B960="",$D960=""),"",IFERROR(IF($D960="Entrée",INDEX(Produits!$E$5:$E$204,MATCH($B960,Produits!$A$5:$A$204,0)),INDEX(Produits!$F$5:$F$204,MATCH($B960,Produits!$A$5:$A$204,0))),""))</f>
        <v/>
      </c>
      <c r="G960" s="21" t="str">
        <f aca="false">IF(OR($F960="",$E960=""),"",$E960*$F960)</f>
        <v/>
      </c>
      <c r="H960" s="21" t="str">
        <f aca="false">IF(AND($D960="Sortie",$B960&lt;&gt;"",$E960&lt;&gt;""),IFERROR($E960*INDEX(Produits!$E$5:$E$204,MATCH($B960,Produits!$A$5:$A$204,0)),""),"")</f>
        <v/>
      </c>
      <c r="I960" s="23"/>
    </row>
    <row r="961" customFormat="false" ht="15" hidden="false" customHeight="false" outlineLevel="0" collapsed="false">
      <c r="A961" s="27"/>
      <c r="B961" s="23"/>
      <c r="C961" s="26" t="str">
        <f aca="false">IF($B961="","",IFERROR(INDEX(Produits!$B$5:$B$204,MATCH($B961,Produits!$A$5:$A$204,0)),"Code inconnu"))</f>
        <v/>
      </c>
      <c r="D961" s="23"/>
      <c r="E961" s="24"/>
      <c r="F961" s="21" t="str">
        <f aca="false">IF(OR($B961="",$D961=""),"",IFERROR(IF($D961="Entrée",INDEX(Produits!$E$5:$E$204,MATCH($B961,Produits!$A$5:$A$204,0)),INDEX(Produits!$F$5:$F$204,MATCH($B961,Produits!$A$5:$A$204,0))),""))</f>
        <v/>
      </c>
      <c r="G961" s="21" t="str">
        <f aca="false">IF(OR($F961="",$E961=""),"",$E961*$F961)</f>
        <v/>
      </c>
      <c r="H961" s="21" t="str">
        <f aca="false">IF(AND($D961="Sortie",$B961&lt;&gt;"",$E961&lt;&gt;""),IFERROR($E961*INDEX(Produits!$E$5:$E$204,MATCH($B961,Produits!$A$5:$A$204,0)),""),"")</f>
        <v/>
      </c>
      <c r="I961" s="23"/>
    </row>
    <row r="962" customFormat="false" ht="15" hidden="false" customHeight="false" outlineLevel="0" collapsed="false">
      <c r="A962" s="27"/>
      <c r="B962" s="23"/>
      <c r="C962" s="26" t="str">
        <f aca="false">IF($B962="","",IFERROR(INDEX(Produits!$B$5:$B$204,MATCH($B962,Produits!$A$5:$A$204,0)),"Code inconnu"))</f>
        <v/>
      </c>
      <c r="D962" s="23"/>
      <c r="E962" s="24"/>
      <c r="F962" s="21" t="str">
        <f aca="false">IF(OR($B962="",$D962=""),"",IFERROR(IF($D962="Entrée",INDEX(Produits!$E$5:$E$204,MATCH($B962,Produits!$A$5:$A$204,0)),INDEX(Produits!$F$5:$F$204,MATCH($B962,Produits!$A$5:$A$204,0))),""))</f>
        <v/>
      </c>
      <c r="G962" s="21" t="str">
        <f aca="false">IF(OR($F962="",$E962=""),"",$E962*$F962)</f>
        <v/>
      </c>
      <c r="H962" s="21" t="str">
        <f aca="false">IF(AND($D962="Sortie",$B962&lt;&gt;"",$E962&lt;&gt;""),IFERROR($E962*INDEX(Produits!$E$5:$E$204,MATCH($B962,Produits!$A$5:$A$204,0)),""),"")</f>
        <v/>
      </c>
      <c r="I962" s="23"/>
    </row>
    <row r="963" customFormat="false" ht="15" hidden="false" customHeight="false" outlineLevel="0" collapsed="false">
      <c r="A963" s="27"/>
      <c r="B963" s="23"/>
      <c r="C963" s="26" t="str">
        <f aca="false">IF($B963="","",IFERROR(INDEX(Produits!$B$5:$B$204,MATCH($B963,Produits!$A$5:$A$204,0)),"Code inconnu"))</f>
        <v/>
      </c>
      <c r="D963" s="23"/>
      <c r="E963" s="24"/>
      <c r="F963" s="21" t="str">
        <f aca="false">IF(OR($B963="",$D963=""),"",IFERROR(IF($D963="Entrée",INDEX(Produits!$E$5:$E$204,MATCH($B963,Produits!$A$5:$A$204,0)),INDEX(Produits!$F$5:$F$204,MATCH($B963,Produits!$A$5:$A$204,0))),""))</f>
        <v/>
      </c>
      <c r="G963" s="21" t="str">
        <f aca="false">IF(OR($F963="",$E963=""),"",$E963*$F963)</f>
        <v/>
      </c>
      <c r="H963" s="21" t="str">
        <f aca="false">IF(AND($D963="Sortie",$B963&lt;&gt;"",$E963&lt;&gt;""),IFERROR($E963*INDEX(Produits!$E$5:$E$204,MATCH($B963,Produits!$A$5:$A$204,0)),""),"")</f>
        <v/>
      </c>
      <c r="I963" s="23"/>
    </row>
    <row r="964" customFormat="false" ht="15" hidden="false" customHeight="false" outlineLevel="0" collapsed="false">
      <c r="A964" s="27"/>
      <c r="B964" s="23"/>
      <c r="C964" s="26" t="str">
        <f aca="false">IF($B964="","",IFERROR(INDEX(Produits!$B$5:$B$204,MATCH($B964,Produits!$A$5:$A$204,0)),"Code inconnu"))</f>
        <v/>
      </c>
      <c r="D964" s="23"/>
      <c r="E964" s="24"/>
      <c r="F964" s="21" t="str">
        <f aca="false">IF(OR($B964="",$D964=""),"",IFERROR(IF($D964="Entrée",INDEX(Produits!$E$5:$E$204,MATCH($B964,Produits!$A$5:$A$204,0)),INDEX(Produits!$F$5:$F$204,MATCH($B964,Produits!$A$5:$A$204,0))),""))</f>
        <v/>
      </c>
      <c r="G964" s="21" t="str">
        <f aca="false">IF(OR($F964="",$E964=""),"",$E964*$F964)</f>
        <v/>
      </c>
      <c r="H964" s="21" t="str">
        <f aca="false">IF(AND($D964="Sortie",$B964&lt;&gt;"",$E964&lt;&gt;""),IFERROR($E964*INDEX(Produits!$E$5:$E$204,MATCH($B964,Produits!$A$5:$A$204,0)),""),"")</f>
        <v/>
      </c>
      <c r="I964" s="23"/>
    </row>
    <row r="965" customFormat="false" ht="15" hidden="false" customHeight="false" outlineLevel="0" collapsed="false">
      <c r="A965" s="27"/>
      <c r="B965" s="23"/>
      <c r="C965" s="26" t="str">
        <f aca="false">IF($B965="","",IFERROR(INDEX(Produits!$B$5:$B$204,MATCH($B965,Produits!$A$5:$A$204,0)),"Code inconnu"))</f>
        <v/>
      </c>
      <c r="D965" s="23"/>
      <c r="E965" s="24"/>
      <c r="F965" s="21" t="str">
        <f aca="false">IF(OR($B965="",$D965=""),"",IFERROR(IF($D965="Entrée",INDEX(Produits!$E$5:$E$204,MATCH($B965,Produits!$A$5:$A$204,0)),INDEX(Produits!$F$5:$F$204,MATCH($B965,Produits!$A$5:$A$204,0))),""))</f>
        <v/>
      </c>
      <c r="G965" s="21" t="str">
        <f aca="false">IF(OR($F965="",$E965=""),"",$E965*$F965)</f>
        <v/>
      </c>
      <c r="H965" s="21" t="str">
        <f aca="false">IF(AND($D965="Sortie",$B965&lt;&gt;"",$E965&lt;&gt;""),IFERROR($E965*INDEX(Produits!$E$5:$E$204,MATCH($B965,Produits!$A$5:$A$204,0)),""),"")</f>
        <v/>
      </c>
      <c r="I965" s="23"/>
    </row>
    <row r="966" customFormat="false" ht="15" hidden="false" customHeight="false" outlineLevel="0" collapsed="false">
      <c r="A966" s="27"/>
      <c r="B966" s="23"/>
      <c r="C966" s="26" t="str">
        <f aca="false">IF($B966="","",IFERROR(INDEX(Produits!$B$5:$B$204,MATCH($B966,Produits!$A$5:$A$204,0)),"Code inconnu"))</f>
        <v/>
      </c>
      <c r="D966" s="23"/>
      <c r="E966" s="24"/>
      <c r="F966" s="21" t="str">
        <f aca="false">IF(OR($B966="",$D966=""),"",IFERROR(IF($D966="Entrée",INDEX(Produits!$E$5:$E$204,MATCH($B966,Produits!$A$5:$A$204,0)),INDEX(Produits!$F$5:$F$204,MATCH($B966,Produits!$A$5:$A$204,0))),""))</f>
        <v/>
      </c>
      <c r="G966" s="21" t="str">
        <f aca="false">IF(OR($F966="",$E966=""),"",$E966*$F966)</f>
        <v/>
      </c>
      <c r="H966" s="21" t="str">
        <f aca="false">IF(AND($D966="Sortie",$B966&lt;&gt;"",$E966&lt;&gt;""),IFERROR($E966*INDEX(Produits!$E$5:$E$204,MATCH($B966,Produits!$A$5:$A$204,0)),""),"")</f>
        <v/>
      </c>
      <c r="I966" s="23"/>
    </row>
    <row r="967" customFormat="false" ht="15" hidden="false" customHeight="false" outlineLevel="0" collapsed="false">
      <c r="A967" s="27"/>
      <c r="B967" s="23"/>
      <c r="C967" s="26" t="str">
        <f aca="false">IF($B967="","",IFERROR(INDEX(Produits!$B$5:$B$204,MATCH($B967,Produits!$A$5:$A$204,0)),"Code inconnu"))</f>
        <v/>
      </c>
      <c r="D967" s="23"/>
      <c r="E967" s="24"/>
      <c r="F967" s="21" t="str">
        <f aca="false">IF(OR($B967="",$D967=""),"",IFERROR(IF($D967="Entrée",INDEX(Produits!$E$5:$E$204,MATCH($B967,Produits!$A$5:$A$204,0)),INDEX(Produits!$F$5:$F$204,MATCH($B967,Produits!$A$5:$A$204,0))),""))</f>
        <v/>
      </c>
      <c r="G967" s="21" t="str">
        <f aca="false">IF(OR($F967="",$E967=""),"",$E967*$F967)</f>
        <v/>
      </c>
      <c r="H967" s="21" t="str">
        <f aca="false">IF(AND($D967="Sortie",$B967&lt;&gt;"",$E967&lt;&gt;""),IFERROR($E967*INDEX(Produits!$E$5:$E$204,MATCH($B967,Produits!$A$5:$A$204,0)),""),"")</f>
        <v/>
      </c>
      <c r="I967" s="23"/>
    </row>
    <row r="968" customFormat="false" ht="15" hidden="false" customHeight="false" outlineLevel="0" collapsed="false">
      <c r="A968" s="27"/>
      <c r="B968" s="23"/>
      <c r="C968" s="26" t="str">
        <f aca="false">IF($B968="","",IFERROR(INDEX(Produits!$B$5:$B$204,MATCH($B968,Produits!$A$5:$A$204,0)),"Code inconnu"))</f>
        <v/>
      </c>
      <c r="D968" s="23"/>
      <c r="E968" s="24"/>
      <c r="F968" s="21" t="str">
        <f aca="false">IF(OR($B968="",$D968=""),"",IFERROR(IF($D968="Entrée",INDEX(Produits!$E$5:$E$204,MATCH($B968,Produits!$A$5:$A$204,0)),INDEX(Produits!$F$5:$F$204,MATCH($B968,Produits!$A$5:$A$204,0))),""))</f>
        <v/>
      </c>
      <c r="G968" s="21" t="str">
        <f aca="false">IF(OR($F968="",$E968=""),"",$E968*$F968)</f>
        <v/>
      </c>
      <c r="H968" s="21" t="str">
        <f aca="false">IF(AND($D968="Sortie",$B968&lt;&gt;"",$E968&lt;&gt;""),IFERROR($E968*INDEX(Produits!$E$5:$E$204,MATCH($B968,Produits!$A$5:$A$204,0)),""),"")</f>
        <v/>
      </c>
      <c r="I968" s="23"/>
    </row>
    <row r="969" customFormat="false" ht="15" hidden="false" customHeight="false" outlineLevel="0" collapsed="false">
      <c r="A969" s="27"/>
      <c r="B969" s="23"/>
      <c r="C969" s="26" t="str">
        <f aca="false">IF($B969="","",IFERROR(INDEX(Produits!$B$5:$B$204,MATCH($B969,Produits!$A$5:$A$204,0)),"Code inconnu"))</f>
        <v/>
      </c>
      <c r="D969" s="23"/>
      <c r="E969" s="24"/>
      <c r="F969" s="21" t="str">
        <f aca="false">IF(OR($B969="",$D969=""),"",IFERROR(IF($D969="Entrée",INDEX(Produits!$E$5:$E$204,MATCH($B969,Produits!$A$5:$A$204,0)),INDEX(Produits!$F$5:$F$204,MATCH($B969,Produits!$A$5:$A$204,0))),""))</f>
        <v/>
      </c>
      <c r="G969" s="21" t="str">
        <f aca="false">IF(OR($F969="",$E969=""),"",$E969*$F969)</f>
        <v/>
      </c>
      <c r="H969" s="21" t="str">
        <f aca="false">IF(AND($D969="Sortie",$B969&lt;&gt;"",$E969&lt;&gt;""),IFERROR($E969*INDEX(Produits!$E$5:$E$204,MATCH($B969,Produits!$A$5:$A$204,0)),""),"")</f>
        <v/>
      </c>
      <c r="I969" s="23"/>
    </row>
    <row r="970" customFormat="false" ht="15" hidden="false" customHeight="false" outlineLevel="0" collapsed="false">
      <c r="A970" s="27"/>
      <c r="B970" s="23"/>
      <c r="C970" s="26" t="str">
        <f aca="false">IF($B970="","",IFERROR(INDEX(Produits!$B$5:$B$204,MATCH($B970,Produits!$A$5:$A$204,0)),"Code inconnu"))</f>
        <v/>
      </c>
      <c r="D970" s="23"/>
      <c r="E970" s="24"/>
      <c r="F970" s="21" t="str">
        <f aca="false">IF(OR($B970="",$D970=""),"",IFERROR(IF($D970="Entrée",INDEX(Produits!$E$5:$E$204,MATCH($B970,Produits!$A$5:$A$204,0)),INDEX(Produits!$F$5:$F$204,MATCH($B970,Produits!$A$5:$A$204,0))),""))</f>
        <v/>
      </c>
      <c r="G970" s="21" t="str">
        <f aca="false">IF(OR($F970="",$E970=""),"",$E970*$F970)</f>
        <v/>
      </c>
      <c r="H970" s="21" t="str">
        <f aca="false">IF(AND($D970="Sortie",$B970&lt;&gt;"",$E970&lt;&gt;""),IFERROR($E970*INDEX(Produits!$E$5:$E$204,MATCH($B970,Produits!$A$5:$A$204,0)),""),"")</f>
        <v/>
      </c>
      <c r="I970" s="23"/>
    </row>
    <row r="971" customFormat="false" ht="15" hidden="false" customHeight="false" outlineLevel="0" collapsed="false">
      <c r="A971" s="27"/>
      <c r="B971" s="23"/>
      <c r="C971" s="26" t="str">
        <f aca="false">IF($B971="","",IFERROR(INDEX(Produits!$B$5:$B$204,MATCH($B971,Produits!$A$5:$A$204,0)),"Code inconnu"))</f>
        <v/>
      </c>
      <c r="D971" s="23"/>
      <c r="E971" s="24"/>
      <c r="F971" s="21" t="str">
        <f aca="false">IF(OR($B971="",$D971=""),"",IFERROR(IF($D971="Entrée",INDEX(Produits!$E$5:$E$204,MATCH($B971,Produits!$A$5:$A$204,0)),INDEX(Produits!$F$5:$F$204,MATCH($B971,Produits!$A$5:$A$204,0))),""))</f>
        <v/>
      </c>
      <c r="G971" s="21" t="str">
        <f aca="false">IF(OR($F971="",$E971=""),"",$E971*$F971)</f>
        <v/>
      </c>
      <c r="H971" s="21" t="str">
        <f aca="false">IF(AND($D971="Sortie",$B971&lt;&gt;"",$E971&lt;&gt;""),IFERROR($E971*INDEX(Produits!$E$5:$E$204,MATCH($B971,Produits!$A$5:$A$204,0)),""),"")</f>
        <v/>
      </c>
      <c r="I971" s="23"/>
    </row>
    <row r="972" customFormat="false" ht="15" hidden="false" customHeight="false" outlineLevel="0" collapsed="false">
      <c r="A972" s="27"/>
      <c r="B972" s="23"/>
      <c r="C972" s="26" t="str">
        <f aca="false">IF($B972="","",IFERROR(INDEX(Produits!$B$5:$B$204,MATCH($B972,Produits!$A$5:$A$204,0)),"Code inconnu"))</f>
        <v/>
      </c>
      <c r="D972" s="23"/>
      <c r="E972" s="24"/>
      <c r="F972" s="21" t="str">
        <f aca="false">IF(OR($B972="",$D972=""),"",IFERROR(IF($D972="Entrée",INDEX(Produits!$E$5:$E$204,MATCH($B972,Produits!$A$5:$A$204,0)),INDEX(Produits!$F$5:$F$204,MATCH($B972,Produits!$A$5:$A$204,0))),""))</f>
        <v/>
      </c>
      <c r="G972" s="21" t="str">
        <f aca="false">IF(OR($F972="",$E972=""),"",$E972*$F972)</f>
        <v/>
      </c>
      <c r="H972" s="21" t="str">
        <f aca="false">IF(AND($D972="Sortie",$B972&lt;&gt;"",$E972&lt;&gt;""),IFERROR($E972*INDEX(Produits!$E$5:$E$204,MATCH($B972,Produits!$A$5:$A$204,0)),""),"")</f>
        <v/>
      </c>
      <c r="I972" s="23"/>
    </row>
    <row r="973" customFormat="false" ht="15" hidden="false" customHeight="false" outlineLevel="0" collapsed="false">
      <c r="A973" s="27"/>
      <c r="B973" s="23"/>
      <c r="C973" s="26" t="str">
        <f aca="false">IF($B973="","",IFERROR(INDEX(Produits!$B$5:$B$204,MATCH($B973,Produits!$A$5:$A$204,0)),"Code inconnu"))</f>
        <v/>
      </c>
      <c r="D973" s="23"/>
      <c r="E973" s="24"/>
      <c r="F973" s="21" t="str">
        <f aca="false">IF(OR($B973="",$D973=""),"",IFERROR(IF($D973="Entrée",INDEX(Produits!$E$5:$E$204,MATCH($B973,Produits!$A$5:$A$204,0)),INDEX(Produits!$F$5:$F$204,MATCH($B973,Produits!$A$5:$A$204,0))),""))</f>
        <v/>
      </c>
      <c r="G973" s="21" t="str">
        <f aca="false">IF(OR($F973="",$E973=""),"",$E973*$F973)</f>
        <v/>
      </c>
      <c r="H973" s="21" t="str">
        <f aca="false">IF(AND($D973="Sortie",$B973&lt;&gt;"",$E973&lt;&gt;""),IFERROR($E973*INDEX(Produits!$E$5:$E$204,MATCH($B973,Produits!$A$5:$A$204,0)),""),"")</f>
        <v/>
      </c>
      <c r="I973" s="23"/>
    </row>
    <row r="974" customFormat="false" ht="15" hidden="false" customHeight="false" outlineLevel="0" collapsed="false">
      <c r="A974" s="27"/>
      <c r="B974" s="23"/>
      <c r="C974" s="26" t="str">
        <f aca="false">IF($B974="","",IFERROR(INDEX(Produits!$B$5:$B$204,MATCH($B974,Produits!$A$5:$A$204,0)),"Code inconnu"))</f>
        <v/>
      </c>
      <c r="D974" s="23"/>
      <c r="E974" s="24"/>
      <c r="F974" s="21" t="str">
        <f aca="false">IF(OR($B974="",$D974=""),"",IFERROR(IF($D974="Entrée",INDEX(Produits!$E$5:$E$204,MATCH($B974,Produits!$A$5:$A$204,0)),INDEX(Produits!$F$5:$F$204,MATCH($B974,Produits!$A$5:$A$204,0))),""))</f>
        <v/>
      </c>
      <c r="G974" s="21" t="str">
        <f aca="false">IF(OR($F974="",$E974=""),"",$E974*$F974)</f>
        <v/>
      </c>
      <c r="H974" s="21" t="str">
        <f aca="false">IF(AND($D974="Sortie",$B974&lt;&gt;"",$E974&lt;&gt;""),IFERROR($E974*INDEX(Produits!$E$5:$E$204,MATCH($B974,Produits!$A$5:$A$204,0)),""),"")</f>
        <v/>
      </c>
      <c r="I974" s="23"/>
    </row>
    <row r="975" customFormat="false" ht="15" hidden="false" customHeight="false" outlineLevel="0" collapsed="false">
      <c r="A975" s="27"/>
      <c r="B975" s="23"/>
      <c r="C975" s="26" t="str">
        <f aca="false">IF($B975="","",IFERROR(INDEX(Produits!$B$5:$B$204,MATCH($B975,Produits!$A$5:$A$204,0)),"Code inconnu"))</f>
        <v/>
      </c>
      <c r="D975" s="23"/>
      <c r="E975" s="24"/>
      <c r="F975" s="21" t="str">
        <f aca="false">IF(OR($B975="",$D975=""),"",IFERROR(IF($D975="Entrée",INDEX(Produits!$E$5:$E$204,MATCH($B975,Produits!$A$5:$A$204,0)),INDEX(Produits!$F$5:$F$204,MATCH($B975,Produits!$A$5:$A$204,0))),""))</f>
        <v/>
      </c>
      <c r="G975" s="21" t="str">
        <f aca="false">IF(OR($F975="",$E975=""),"",$E975*$F975)</f>
        <v/>
      </c>
      <c r="H975" s="21" t="str">
        <f aca="false">IF(AND($D975="Sortie",$B975&lt;&gt;"",$E975&lt;&gt;""),IFERROR($E975*INDEX(Produits!$E$5:$E$204,MATCH($B975,Produits!$A$5:$A$204,0)),""),"")</f>
        <v/>
      </c>
      <c r="I975" s="23"/>
    </row>
    <row r="976" customFormat="false" ht="15" hidden="false" customHeight="false" outlineLevel="0" collapsed="false">
      <c r="A976" s="27"/>
      <c r="B976" s="23"/>
      <c r="C976" s="26" t="str">
        <f aca="false">IF($B976="","",IFERROR(INDEX(Produits!$B$5:$B$204,MATCH($B976,Produits!$A$5:$A$204,0)),"Code inconnu"))</f>
        <v/>
      </c>
      <c r="D976" s="23"/>
      <c r="E976" s="24"/>
      <c r="F976" s="21" t="str">
        <f aca="false">IF(OR($B976="",$D976=""),"",IFERROR(IF($D976="Entrée",INDEX(Produits!$E$5:$E$204,MATCH($B976,Produits!$A$5:$A$204,0)),INDEX(Produits!$F$5:$F$204,MATCH($B976,Produits!$A$5:$A$204,0))),""))</f>
        <v/>
      </c>
      <c r="G976" s="21" t="str">
        <f aca="false">IF(OR($F976="",$E976=""),"",$E976*$F976)</f>
        <v/>
      </c>
      <c r="H976" s="21" t="str">
        <f aca="false">IF(AND($D976="Sortie",$B976&lt;&gt;"",$E976&lt;&gt;""),IFERROR($E976*INDEX(Produits!$E$5:$E$204,MATCH($B976,Produits!$A$5:$A$204,0)),""),"")</f>
        <v/>
      </c>
      <c r="I976" s="23"/>
    </row>
    <row r="977" customFormat="false" ht="15" hidden="false" customHeight="false" outlineLevel="0" collapsed="false">
      <c r="A977" s="27"/>
      <c r="B977" s="23"/>
      <c r="C977" s="26" t="str">
        <f aca="false">IF($B977="","",IFERROR(INDEX(Produits!$B$5:$B$204,MATCH($B977,Produits!$A$5:$A$204,0)),"Code inconnu"))</f>
        <v/>
      </c>
      <c r="D977" s="23"/>
      <c r="E977" s="24"/>
      <c r="F977" s="21" t="str">
        <f aca="false">IF(OR($B977="",$D977=""),"",IFERROR(IF($D977="Entrée",INDEX(Produits!$E$5:$E$204,MATCH($B977,Produits!$A$5:$A$204,0)),INDEX(Produits!$F$5:$F$204,MATCH($B977,Produits!$A$5:$A$204,0))),""))</f>
        <v/>
      </c>
      <c r="G977" s="21" t="str">
        <f aca="false">IF(OR($F977="",$E977=""),"",$E977*$F977)</f>
        <v/>
      </c>
      <c r="H977" s="21" t="str">
        <f aca="false">IF(AND($D977="Sortie",$B977&lt;&gt;"",$E977&lt;&gt;""),IFERROR($E977*INDEX(Produits!$E$5:$E$204,MATCH($B977,Produits!$A$5:$A$204,0)),""),"")</f>
        <v/>
      </c>
      <c r="I977" s="23"/>
    </row>
    <row r="978" customFormat="false" ht="15" hidden="false" customHeight="false" outlineLevel="0" collapsed="false">
      <c r="A978" s="27"/>
      <c r="B978" s="23"/>
      <c r="C978" s="26" t="str">
        <f aca="false">IF($B978="","",IFERROR(INDEX(Produits!$B$5:$B$204,MATCH($B978,Produits!$A$5:$A$204,0)),"Code inconnu"))</f>
        <v/>
      </c>
      <c r="D978" s="23"/>
      <c r="E978" s="24"/>
      <c r="F978" s="21" t="str">
        <f aca="false">IF(OR($B978="",$D978=""),"",IFERROR(IF($D978="Entrée",INDEX(Produits!$E$5:$E$204,MATCH($B978,Produits!$A$5:$A$204,0)),INDEX(Produits!$F$5:$F$204,MATCH($B978,Produits!$A$5:$A$204,0))),""))</f>
        <v/>
      </c>
      <c r="G978" s="21" t="str">
        <f aca="false">IF(OR($F978="",$E978=""),"",$E978*$F978)</f>
        <v/>
      </c>
      <c r="H978" s="21" t="str">
        <f aca="false">IF(AND($D978="Sortie",$B978&lt;&gt;"",$E978&lt;&gt;""),IFERROR($E978*INDEX(Produits!$E$5:$E$204,MATCH($B978,Produits!$A$5:$A$204,0)),""),"")</f>
        <v/>
      </c>
      <c r="I978" s="23"/>
    </row>
    <row r="979" customFormat="false" ht="15" hidden="false" customHeight="false" outlineLevel="0" collapsed="false">
      <c r="A979" s="27"/>
      <c r="B979" s="23"/>
      <c r="C979" s="26" t="str">
        <f aca="false">IF($B979="","",IFERROR(INDEX(Produits!$B$5:$B$204,MATCH($B979,Produits!$A$5:$A$204,0)),"Code inconnu"))</f>
        <v/>
      </c>
      <c r="D979" s="23"/>
      <c r="E979" s="24"/>
      <c r="F979" s="21" t="str">
        <f aca="false">IF(OR($B979="",$D979=""),"",IFERROR(IF($D979="Entrée",INDEX(Produits!$E$5:$E$204,MATCH($B979,Produits!$A$5:$A$204,0)),INDEX(Produits!$F$5:$F$204,MATCH($B979,Produits!$A$5:$A$204,0))),""))</f>
        <v/>
      </c>
      <c r="G979" s="21" t="str">
        <f aca="false">IF(OR($F979="",$E979=""),"",$E979*$F979)</f>
        <v/>
      </c>
      <c r="H979" s="21" t="str">
        <f aca="false">IF(AND($D979="Sortie",$B979&lt;&gt;"",$E979&lt;&gt;""),IFERROR($E979*INDEX(Produits!$E$5:$E$204,MATCH($B979,Produits!$A$5:$A$204,0)),""),"")</f>
        <v/>
      </c>
      <c r="I979" s="23"/>
    </row>
    <row r="980" customFormat="false" ht="15" hidden="false" customHeight="false" outlineLevel="0" collapsed="false">
      <c r="A980" s="27"/>
      <c r="B980" s="23"/>
      <c r="C980" s="26" t="str">
        <f aca="false">IF($B980="","",IFERROR(INDEX(Produits!$B$5:$B$204,MATCH($B980,Produits!$A$5:$A$204,0)),"Code inconnu"))</f>
        <v/>
      </c>
      <c r="D980" s="23"/>
      <c r="E980" s="24"/>
      <c r="F980" s="21" t="str">
        <f aca="false">IF(OR($B980="",$D980=""),"",IFERROR(IF($D980="Entrée",INDEX(Produits!$E$5:$E$204,MATCH($B980,Produits!$A$5:$A$204,0)),INDEX(Produits!$F$5:$F$204,MATCH($B980,Produits!$A$5:$A$204,0))),""))</f>
        <v/>
      </c>
      <c r="G980" s="21" t="str">
        <f aca="false">IF(OR($F980="",$E980=""),"",$E980*$F980)</f>
        <v/>
      </c>
      <c r="H980" s="21" t="str">
        <f aca="false">IF(AND($D980="Sortie",$B980&lt;&gt;"",$E980&lt;&gt;""),IFERROR($E980*INDEX(Produits!$E$5:$E$204,MATCH($B980,Produits!$A$5:$A$204,0)),""),"")</f>
        <v/>
      </c>
      <c r="I980" s="23"/>
    </row>
    <row r="981" customFormat="false" ht="15" hidden="false" customHeight="false" outlineLevel="0" collapsed="false">
      <c r="A981" s="27"/>
      <c r="B981" s="23"/>
      <c r="C981" s="26" t="str">
        <f aca="false">IF($B981="","",IFERROR(INDEX(Produits!$B$5:$B$204,MATCH($B981,Produits!$A$5:$A$204,0)),"Code inconnu"))</f>
        <v/>
      </c>
      <c r="D981" s="23"/>
      <c r="E981" s="24"/>
      <c r="F981" s="21" t="str">
        <f aca="false">IF(OR($B981="",$D981=""),"",IFERROR(IF($D981="Entrée",INDEX(Produits!$E$5:$E$204,MATCH($B981,Produits!$A$5:$A$204,0)),INDEX(Produits!$F$5:$F$204,MATCH($B981,Produits!$A$5:$A$204,0))),""))</f>
        <v/>
      </c>
      <c r="G981" s="21" t="str">
        <f aca="false">IF(OR($F981="",$E981=""),"",$E981*$F981)</f>
        <v/>
      </c>
      <c r="H981" s="21" t="str">
        <f aca="false">IF(AND($D981="Sortie",$B981&lt;&gt;"",$E981&lt;&gt;""),IFERROR($E981*INDEX(Produits!$E$5:$E$204,MATCH($B981,Produits!$A$5:$A$204,0)),""),"")</f>
        <v/>
      </c>
      <c r="I981" s="23"/>
    </row>
    <row r="982" customFormat="false" ht="15" hidden="false" customHeight="false" outlineLevel="0" collapsed="false">
      <c r="A982" s="27"/>
      <c r="B982" s="23"/>
      <c r="C982" s="26" t="str">
        <f aca="false">IF($B982="","",IFERROR(INDEX(Produits!$B$5:$B$204,MATCH($B982,Produits!$A$5:$A$204,0)),"Code inconnu"))</f>
        <v/>
      </c>
      <c r="D982" s="23"/>
      <c r="E982" s="24"/>
      <c r="F982" s="21" t="str">
        <f aca="false">IF(OR($B982="",$D982=""),"",IFERROR(IF($D982="Entrée",INDEX(Produits!$E$5:$E$204,MATCH($B982,Produits!$A$5:$A$204,0)),INDEX(Produits!$F$5:$F$204,MATCH($B982,Produits!$A$5:$A$204,0))),""))</f>
        <v/>
      </c>
      <c r="G982" s="21" t="str">
        <f aca="false">IF(OR($F982="",$E982=""),"",$E982*$F982)</f>
        <v/>
      </c>
      <c r="H982" s="21" t="str">
        <f aca="false">IF(AND($D982="Sortie",$B982&lt;&gt;"",$E982&lt;&gt;""),IFERROR($E982*INDEX(Produits!$E$5:$E$204,MATCH($B982,Produits!$A$5:$A$204,0)),""),"")</f>
        <v/>
      </c>
      <c r="I982" s="23"/>
    </row>
    <row r="983" customFormat="false" ht="15" hidden="false" customHeight="false" outlineLevel="0" collapsed="false">
      <c r="A983" s="27"/>
      <c r="B983" s="23"/>
      <c r="C983" s="26" t="str">
        <f aca="false">IF($B983="","",IFERROR(INDEX(Produits!$B$5:$B$204,MATCH($B983,Produits!$A$5:$A$204,0)),"Code inconnu"))</f>
        <v/>
      </c>
      <c r="D983" s="23"/>
      <c r="E983" s="24"/>
      <c r="F983" s="21" t="str">
        <f aca="false">IF(OR($B983="",$D983=""),"",IFERROR(IF($D983="Entrée",INDEX(Produits!$E$5:$E$204,MATCH($B983,Produits!$A$5:$A$204,0)),INDEX(Produits!$F$5:$F$204,MATCH($B983,Produits!$A$5:$A$204,0))),""))</f>
        <v/>
      </c>
      <c r="G983" s="21" t="str">
        <f aca="false">IF(OR($F983="",$E983=""),"",$E983*$F983)</f>
        <v/>
      </c>
      <c r="H983" s="21" t="str">
        <f aca="false">IF(AND($D983="Sortie",$B983&lt;&gt;"",$E983&lt;&gt;""),IFERROR($E983*INDEX(Produits!$E$5:$E$204,MATCH($B983,Produits!$A$5:$A$204,0)),""),"")</f>
        <v/>
      </c>
      <c r="I983" s="23"/>
    </row>
    <row r="984" customFormat="false" ht="15" hidden="false" customHeight="false" outlineLevel="0" collapsed="false">
      <c r="A984" s="27"/>
      <c r="B984" s="23"/>
      <c r="C984" s="26" t="str">
        <f aca="false">IF($B984="","",IFERROR(INDEX(Produits!$B$5:$B$204,MATCH($B984,Produits!$A$5:$A$204,0)),"Code inconnu"))</f>
        <v/>
      </c>
      <c r="D984" s="23"/>
      <c r="E984" s="24"/>
      <c r="F984" s="21" t="str">
        <f aca="false">IF(OR($B984="",$D984=""),"",IFERROR(IF($D984="Entrée",INDEX(Produits!$E$5:$E$204,MATCH($B984,Produits!$A$5:$A$204,0)),INDEX(Produits!$F$5:$F$204,MATCH($B984,Produits!$A$5:$A$204,0))),""))</f>
        <v/>
      </c>
      <c r="G984" s="21" t="str">
        <f aca="false">IF(OR($F984="",$E984=""),"",$E984*$F984)</f>
        <v/>
      </c>
      <c r="H984" s="21" t="str">
        <f aca="false">IF(AND($D984="Sortie",$B984&lt;&gt;"",$E984&lt;&gt;""),IFERROR($E984*INDEX(Produits!$E$5:$E$204,MATCH($B984,Produits!$A$5:$A$204,0)),""),"")</f>
        <v/>
      </c>
      <c r="I984" s="23"/>
    </row>
    <row r="985" customFormat="false" ht="15" hidden="false" customHeight="false" outlineLevel="0" collapsed="false">
      <c r="A985" s="27"/>
      <c r="B985" s="23"/>
      <c r="C985" s="26" t="str">
        <f aca="false">IF($B985="","",IFERROR(INDEX(Produits!$B$5:$B$204,MATCH($B985,Produits!$A$5:$A$204,0)),"Code inconnu"))</f>
        <v/>
      </c>
      <c r="D985" s="23"/>
      <c r="E985" s="24"/>
      <c r="F985" s="21" t="str">
        <f aca="false">IF(OR($B985="",$D985=""),"",IFERROR(IF($D985="Entrée",INDEX(Produits!$E$5:$E$204,MATCH($B985,Produits!$A$5:$A$204,0)),INDEX(Produits!$F$5:$F$204,MATCH($B985,Produits!$A$5:$A$204,0))),""))</f>
        <v/>
      </c>
      <c r="G985" s="21" t="str">
        <f aca="false">IF(OR($F985="",$E985=""),"",$E985*$F985)</f>
        <v/>
      </c>
      <c r="H985" s="21" t="str">
        <f aca="false">IF(AND($D985="Sortie",$B985&lt;&gt;"",$E985&lt;&gt;""),IFERROR($E985*INDEX(Produits!$E$5:$E$204,MATCH($B985,Produits!$A$5:$A$204,0)),""),"")</f>
        <v/>
      </c>
      <c r="I985" s="23"/>
    </row>
    <row r="986" customFormat="false" ht="15" hidden="false" customHeight="false" outlineLevel="0" collapsed="false">
      <c r="A986" s="27"/>
      <c r="B986" s="23"/>
      <c r="C986" s="26" t="str">
        <f aca="false">IF($B986="","",IFERROR(INDEX(Produits!$B$5:$B$204,MATCH($B986,Produits!$A$5:$A$204,0)),"Code inconnu"))</f>
        <v/>
      </c>
      <c r="D986" s="23"/>
      <c r="E986" s="24"/>
      <c r="F986" s="21" t="str">
        <f aca="false">IF(OR($B986="",$D986=""),"",IFERROR(IF($D986="Entrée",INDEX(Produits!$E$5:$E$204,MATCH($B986,Produits!$A$5:$A$204,0)),INDEX(Produits!$F$5:$F$204,MATCH($B986,Produits!$A$5:$A$204,0))),""))</f>
        <v/>
      </c>
      <c r="G986" s="21" t="str">
        <f aca="false">IF(OR($F986="",$E986=""),"",$E986*$F986)</f>
        <v/>
      </c>
      <c r="H986" s="21" t="str">
        <f aca="false">IF(AND($D986="Sortie",$B986&lt;&gt;"",$E986&lt;&gt;""),IFERROR($E986*INDEX(Produits!$E$5:$E$204,MATCH($B986,Produits!$A$5:$A$204,0)),""),"")</f>
        <v/>
      </c>
      <c r="I986" s="23"/>
    </row>
    <row r="987" customFormat="false" ht="15" hidden="false" customHeight="false" outlineLevel="0" collapsed="false">
      <c r="A987" s="27"/>
      <c r="B987" s="23"/>
      <c r="C987" s="26" t="str">
        <f aca="false">IF($B987="","",IFERROR(INDEX(Produits!$B$5:$B$204,MATCH($B987,Produits!$A$5:$A$204,0)),"Code inconnu"))</f>
        <v/>
      </c>
      <c r="D987" s="23"/>
      <c r="E987" s="24"/>
      <c r="F987" s="21" t="str">
        <f aca="false">IF(OR($B987="",$D987=""),"",IFERROR(IF($D987="Entrée",INDEX(Produits!$E$5:$E$204,MATCH($B987,Produits!$A$5:$A$204,0)),INDEX(Produits!$F$5:$F$204,MATCH($B987,Produits!$A$5:$A$204,0))),""))</f>
        <v/>
      </c>
      <c r="G987" s="21" t="str">
        <f aca="false">IF(OR($F987="",$E987=""),"",$E987*$F987)</f>
        <v/>
      </c>
      <c r="H987" s="21" t="str">
        <f aca="false">IF(AND($D987="Sortie",$B987&lt;&gt;"",$E987&lt;&gt;""),IFERROR($E987*INDEX(Produits!$E$5:$E$204,MATCH($B987,Produits!$A$5:$A$204,0)),""),"")</f>
        <v/>
      </c>
      <c r="I987" s="23"/>
    </row>
    <row r="988" customFormat="false" ht="15" hidden="false" customHeight="false" outlineLevel="0" collapsed="false">
      <c r="A988" s="27"/>
      <c r="B988" s="23"/>
      <c r="C988" s="26" t="str">
        <f aca="false">IF($B988="","",IFERROR(INDEX(Produits!$B$5:$B$204,MATCH($B988,Produits!$A$5:$A$204,0)),"Code inconnu"))</f>
        <v/>
      </c>
      <c r="D988" s="23"/>
      <c r="E988" s="24"/>
      <c r="F988" s="21" t="str">
        <f aca="false">IF(OR($B988="",$D988=""),"",IFERROR(IF($D988="Entrée",INDEX(Produits!$E$5:$E$204,MATCH($B988,Produits!$A$5:$A$204,0)),INDEX(Produits!$F$5:$F$204,MATCH($B988,Produits!$A$5:$A$204,0))),""))</f>
        <v/>
      </c>
      <c r="G988" s="21" t="str">
        <f aca="false">IF(OR($F988="",$E988=""),"",$E988*$F988)</f>
        <v/>
      </c>
      <c r="H988" s="21" t="str">
        <f aca="false">IF(AND($D988="Sortie",$B988&lt;&gt;"",$E988&lt;&gt;""),IFERROR($E988*INDEX(Produits!$E$5:$E$204,MATCH($B988,Produits!$A$5:$A$204,0)),""),"")</f>
        <v/>
      </c>
      <c r="I988" s="23"/>
    </row>
    <row r="989" customFormat="false" ht="15" hidden="false" customHeight="false" outlineLevel="0" collapsed="false">
      <c r="A989" s="27"/>
      <c r="B989" s="23"/>
      <c r="C989" s="26" t="str">
        <f aca="false">IF($B989="","",IFERROR(INDEX(Produits!$B$5:$B$204,MATCH($B989,Produits!$A$5:$A$204,0)),"Code inconnu"))</f>
        <v/>
      </c>
      <c r="D989" s="23"/>
      <c r="E989" s="24"/>
      <c r="F989" s="21" t="str">
        <f aca="false">IF(OR($B989="",$D989=""),"",IFERROR(IF($D989="Entrée",INDEX(Produits!$E$5:$E$204,MATCH($B989,Produits!$A$5:$A$204,0)),INDEX(Produits!$F$5:$F$204,MATCH($B989,Produits!$A$5:$A$204,0))),""))</f>
        <v/>
      </c>
      <c r="G989" s="21" t="str">
        <f aca="false">IF(OR($F989="",$E989=""),"",$E989*$F989)</f>
        <v/>
      </c>
      <c r="H989" s="21" t="str">
        <f aca="false">IF(AND($D989="Sortie",$B989&lt;&gt;"",$E989&lt;&gt;""),IFERROR($E989*INDEX(Produits!$E$5:$E$204,MATCH($B989,Produits!$A$5:$A$204,0)),""),"")</f>
        <v/>
      </c>
      <c r="I989" s="23"/>
    </row>
    <row r="990" customFormat="false" ht="15" hidden="false" customHeight="false" outlineLevel="0" collapsed="false">
      <c r="A990" s="27"/>
      <c r="B990" s="23"/>
      <c r="C990" s="26" t="str">
        <f aca="false">IF($B990="","",IFERROR(INDEX(Produits!$B$5:$B$204,MATCH($B990,Produits!$A$5:$A$204,0)),"Code inconnu"))</f>
        <v/>
      </c>
      <c r="D990" s="23"/>
      <c r="E990" s="24"/>
      <c r="F990" s="21" t="str">
        <f aca="false">IF(OR($B990="",$D990=""),"",IFERROR(IF($D990="Entrée",INDEX(Produits!$E$5:$E$204,MATCH($B990,Produits!$A$5:$A$204,0)),INDEX(Produits!$F$5:$F$204,MATCH($B990,Produits!$A$5:$A$204,0))),""))</f>
        <v/>
      </c>
      <c r="G990" s="21" t="str">
        <f aca="false">IF(OR($F990="",$E990=""),"",$E990*$F990)</f>
        <v/>
      </c>
      <c r="H990" s="21" t="str">
        <f aca="false">IF(AND($D990="Sortie",$B990&lt;&gt;"",$E990&lt;&gt;""),IFERROR($E990*INDEX(Produits!$E$5:$E$204,MATCH($B990,Produits!$A$5:$A$204,0)),""),"")</f>
        <v/>
      </c>
      <c r="I990" s="23"/>
    </row>
    <row r="991" customFormat="false" ht="15" hidden="false" customHeight="false" outlineLevel="0" collapsed="false">
      <c r="A991" s="27"/>
      <c r="B991" s="23"/>
      <c r="C991" s="26" t="str">
        <f aca="false">IF($B991="","",IFERROR(INDEX(Produits!$B$5:$B$204,MATCH($B991,Produits!$A$5:$A$204,0)),"Code inconnu"))</f>
        <v/>
      </c>
      <c r="D991" s="23"/>
      <c r="E991" s="24"/>
      <c r="F991" s="21" t="str">
        <f aca="false">IF(OR($B991="",$D991=""),"",IFERROR(IF($D991="Entrée",INDEX(Produits!$E$5:$E$204,MATCH($B991,Produits!$A$5:$A$204,0)),INDEX(Produits!$F$5:$F$204,MATCH($B991,Produits!$A$5:$A$204,0))),""))</f>
        <v/>
      </c>
      <c r="G991" s="21" t="str">
        <f aca="false">IF(OR($F991="",$E991=""),"",$E991*$F991)</f>
        <v/>
      </c>
      <c r="H991" s="21" t="str">
        <f aca="false">IF(AND($D991="Sortie",$B991&lt;&gt;"",$E991&lt;&gt;""),IFERROR($E991*INDEX(Produits!$E$5:$E$204,MATCH($B991,Produits!$A$5:$A$204,0)),""),"")</f>
        <v/>
      </c>
      <c r="I991" s="23"/>
    </row>
    <row r="992" customFormat="false" ht="15" hidden="false" customHeight="false" outlineLevel="0" collapsed="false">
      <c r="A992" s="27"/>
      <c r="B992" s="23"/>
      <c r="C992" s="26" t="str">
        <f aca="false">IF($B992="","",IFERROR(INDEX(Produits!$B$5:$B$204,MATCH($B992,Produits!$A$5:$A$204,0)),"Code inconnu"))</f>
        <v/>
      </c>
      <c r="D992" s="23"/>
      <c r="E992" s="24"/>
      <c r="F992" s="21" t="str">
        <f aca="false">IF(OR($B992="",$D992=""),"",IFERROR(IF($D992="Entrée",INDEX(Produits!$E$5:$E$204,MATCH($B992,Produits!$A$5:$A$204,0)),INDEX(Produits!$F$5:$F$204,MATCH($B992,Produits!$A$5:$A$204,0))),""))</f>
        <v/>
      </c>
      <c r="G992" s="21" t="str">
        <f aca="false">IF(OR($F992="",$E992=""),"",$E992*$F992)</f>
        <v/>
      </c>
      <c r="H992" s="21" t="str">
        <f aca="false">IF(AND($D992="Sortie",$B992&lt;&gt;"",$E992&lt;&gt;""),IFERROR($E992*INDEX(Produits!$E$5:$E$204,MATCH($B992,Produits!$A$5:$A$204,0)),""),"")</f>
        <v/>
      </c>
      <c r="I992" s="23"/>
    </row>
    <row r="993" customFormat="false" ht="15" hidden="false" customHeight="false" outlineLevel="0" collapsed="false">
      <c r="A993" s="27"/>
      <c r="B993" s="23"/>
      <c r="C993" s="26" t="str">
        <f aca="false">IF($B993="","",IFERROR(INDEX(Produits!$B$5:$B$204,MATCH($B993,Produits!$A$5:$A$204,0)),"Code inconnu"))</f>
        <v/>
      </c>
      <c r="D993" s="23"/>
      <c r="E993" s="24"/>
      <c r="F993" s="21" t="str">
        <f aca="false">IF(OR($B993="",$D993=""),"",IFERROR(IF($D993="Entrée",INDEX(Produits!$E$5:$E$204,MATCH($B993,Produits!$A$5:$A$204,0)),INDEX(Produits!$F$5:$F$204,MATCH($B993,Produits!$A$5:$A$204,0))),""))</f>
        <v/>
      </c>
      <c r="G993" s="21" t="str">
        <f aca="false">IF(OR($F993="",$E993=""),"",$E993*$F993)</f>
        <v/>
      </c>
      <c r="H993" s="21" t="str">
        <f aca="false">IF(AND($D993="Sortie",$B993&lt;&gt;"",$E993&lt;&gt;""),IFERROR($E993*INDEX(Produits!$E$5:$E$204,MATCH($B993,Produits!$A$5:$A$204,0)),""),"")</f>
        <v/>
      </c>
      <c r="I993" s="23"/>
    </row>
    <row r="994" customFormat="false" ht="15" hidden="false" customHeight="false" outlineLevel="0" collapsed="false">
      <c r="A994" s="27"/>
      <c r="B994" s="23"/>
      <c r="C994" s="26" t="str">
        <f aca="false">IF($B994="","",IFERROR(INDEX(Produits!$B$5:$B$204,MATCH($B994,Produits!$A$5:$A$204,0)),"Code inconnu"))</f>
        <v/>
      </c>
      <c r="D994" s="23"/>
      <c r="E994" s="24"/>
      <c r="F994" s="21" t="str">
        <f aca="false">IF(OR($B994="",$D994=""),"",IFERROR(IF($D994="Entrée",INDEX(Produits!$E$5:$E$204,MATCH($B994,Produits!$A$5:$A$204,0)),INDEX(Produits!$F$5:$F$204,MATCH($B994,Produits!$A$5:$A$204,0))),""))</f>
        <v/>
      </c>
      <c r="G994" s="21" t="str">
        <f aca="false">IF(OR($F994="",$E994=""),"",$E994*$F994)</f>
        <v/>
      </c>
      <c r="H994" s="21" t="str">
        <f aca="false">IF(AND($D994="Sortie",$B994&lt;&gt;"",$E994&lt;&gt;""),IFERROR($E994*INDEX(Produits!$E$5:$E$204,MATCH($B994,Produits!$A$5:$A$204,0)),""),"")</f>
        <v/>
      </c>
      <c r="I994" s="23"/>
    </row>
    <row r="995" customFormat="false" ht="15" hidden="false" customHeight="false" outlineLevel="0" collapsed="false">
      <c r="A995" s="27"/>
      <c r="B995" s="23"/>
      <c r="C995" s="26" t="str">
        <f aca="false">IF($B995="","",IFERROR(INDEX(Produits!$B$5:$B$204,MATCH($B995,Produits!$A$5:$A$204,0)),"Code inconnu"))</f>
        <v/>
      </c>
      <c r="D995" s="23"/>
      <c r="E995" s="24"/>
      <c r="F995" s="21" t="str">
        <f aca="false">IF(OR($B995="",$D995=""),"",IFERROR(IF($D995="Entrée",INDEX(Produits!$E$5:$E$204,MATCH($B995,Produits!$A$5:$A$204,0)),INDEX(Produits!$F$5:$F$204,MATCH($B995,Produits!$A$5:$A$204,0))),""))</f>
        <v/>
      </c>
      <c r="G995" s="21" t="str">
        <f aca="false">IF(OR($F995="",$E995=""),"",$E995*$F995)</f>
        <v/>
      </c>
      <c r="H995" s="21" t="str">
        <f aca="false">IF(AND($D995="Sortie",$B995&lt;&gt;"",$E995&lt;&gt;""),IFERROR($E995*INDEX(Produits!$E$5:$E$204,MATCH($B995,Produits!$A$5:$A$204,0)),""),"")</f>
        <v/>
      </c>
      <c r="I995" s="23"/>
    </row>
    <row r="996" customFormat="false" ht="15" hidden="false" customHeight="false" outlineLevel="0" collapsed="false">
      <c r="A996" s="27"/>
      <c r="B996" s="23"/>
      <c r="C996" s="26" t="str">
        <f aca="false">IF($B996="","",IFERROR(INDEX(Produits!$B$5:$B$204,MATCH($B996,Produits!$A$5:$A$204,0)),"Code inconnu"))</f>
        <v/>
      </c>
      <c r="D996" s="23"/>
      <c r="E996" s="24"/>
      <c r="F996" s="21" t="str">
        <f aca="false">IF(OR($B996="",$D996=""),"",IFERROR(IF($D996="Entrée",INDEX(Produits!$E$5:$E$204,MATCH($B996,Produits!$A$5:$A$204,0)),INDEX(Produits!$F$5:$F$204,MATCH($B996,Produits!$A$5:$A$204,0))),""))</f>
        <v/>
      </c>
      <c r="G996" s="21" t="str">
        <f aca="false">IF(OR($F996="",$E996=""),"",$E996*$F996)</f>
        <v/>
      </c>
      <c r="H996" s="21" t="str">
        <f aca="false">IF(AND($D996="Sortie",$B996&lt;&gt;"",$E996&lt;&gt;""),IFERROR($E996*INDEX(Produits!$E$5:$E$204,MATCH($B996,Produits!$A$5:$A$204,0)),""),"")</f>
        <v/>
      </c>
      <c r="I996" s="23"/>
    </row>
    <row r="997" customFormat="false" ht="15" hidden="false" customHeight="false" outlineLevel="0" collapsed="false">
      <c r="A997" s="27"/>
      <c r="B997" s="23"/>
      <c r="C997" s="26" t="str">
        <f aca="false">IF($B997="","",IFERROR(INDEX(Produits!$B$5:$B$204,MATCH($B997,Produits!$A$5:$A$204,0)),"Code inconnu"))</f>
        <v/>
      </c>
      <c r="D997" s="23"/>
      <c r="E997" s="24"/>
      <c r="F997" s="21" t="str">
        <f aca="false">IF(OR($B997="",$D997=""),"",IFERROR(IF($D997="Entrée",INDEX(Produits!$E$5:$E$204,MATCH($B997,Produits!$A$5:$A$204,0)),INDEX(Produits!$F$5:$F$204,MATCH($B997,Produits!$A$5:$A$204,0))),""))</f>
        <v/>
      </c>
      <c r="G997" s="21" t="str">
        <f aca="false">IF(OR($F997="",$E997=""),"",$E997*$F997)</f>
        <v/>
      </c>
      <c r="H997" s="21" t="str">
        <f aca="false">IF(AND($D997="Sortie",$B997&lt;&gt;"",$E997&lt;&gt;""),IFERROR($E997*INDEX(Produits!$E$5:$E$204,MATCH($B997,Produits!$A$5:$A$204,0)),""),"")</f>
        <v/>
      </c>
      <c r="I997" s="23"/>
    </row>
    <row r="998" customFormat="false" ht="15" hidden="false" customHeight="false" outlineLevel="0" collapsed="false">
      <c r="A998" s="27"/>
      <c r="B998" s="23"/>
      <c r="C998" s="26" t="str">
        <f aca="false">IF($B998="","",IFERROR(INDEX(Produits!$B$5:$B$204,MATCH($B998,Produits!$A$5:$A$204,0)),"Code inconnu"))</f>
        <v/>
      </c>
      <c r="D998" s="23"/>
      <c r="E998" s="24"/>
      <c r="F998" s="21" t="str">
        <f aca="false">IF(OR($B998="",$D998=""),"",IFERROR(IF($D998="Entrée",INDEX(Produits!$E$5:$E$204,MATCH($B998,Produits!$A$5:$A$204,0)),INDEX(Produits!$F$5:$F$204,MATCH($B998,Produits!$A$5:$A$204,0))),""))</f>
        <v/>
      </c>
      <c r="G998" s="21" t="str">
        <f aca="false">IF(OR($F998="",$E998=""),"",$E998*$F998)</f>
        <v/>
      </c>
      <c r="H998" s="21" t="str">
        <f aca="false">IF(AND($D998="Sortie",$B998&lt;&gt;"",$E998&lt;&gt;""),IFERROR($E998*INDEX(Produits!$E$5:$E$204,MATCH($B998,Produits!$A$5:$A$204,0)),""),"")</f>
        <v/>
      </c>
      <c r="I998" s="23"/>
    </row>
    <row r="999" customFormat="false" ht="15" hidden="false" customHeight="false" outlineLevel="0" collapsed="false">
      <c r="A999" s="27"/>
      <c r="B999" s="23"/>
      <c r="C999" s="26" t="str">
        <f aca="false">IF($B999="","",IFERROR(INDEX(Produits!$B$5:$B$204,MATCH($B999,Produits!$A$5:$A$204,0)),"Code inconnu"))</f>
        <v/>
      </c>
      <c r="D999" s="23"/>
      <c r="E999" s="24"/>
      <c r="F999" s="21" t="str">
        <f aca="false">IF(OR($B999="",$D999=""),"",IFERROR(IF($D999="Entrée",INDEX(Produits!$E$5:$E$204,MATCH($B999,Produits!$A$5:$A$204,0)),INDEX(Produits!$F$5:$F$204,MATCH($B999,Produits!$A$5:$A$204,0))),""))</f>
        <v/>
      </c>
      <c r="G999" s="21" t="str">
        <f aca="false">IF(OR($F999="",$E999=""),"",$E999*$F999)</f>
        <v/>
      </c>
      <c r="H999" s="21" t="str">
        <f aca="false">IF(AND($D999="Sortie",$B999&lt;&gt;"",$E999&lt;&gt;""),IFERROR($E999*INDEX(Produits!$E$5:$E$204,MATCH($B999,Produits!$A$5:$A$204,0)),""),"")</f>
        <v/>
      </c>
      <c r="I999" s="23"/>
    </row>
    <row r="1000" customFormat="false" ht="15" hidden="false" customHeight="false" outlineLevel="0" collapsed="false">
      <c r="A1000" s="27"/>
      <c r="B1000" s="23"/>
      <c r="C1000" s="26" t="str">
        <f aca="false">IF($B1000="","",IFERROR(INDEX(Produits!$B$5:$B$204,MATCH($B1000,Produits!$A$5:$A$204,0)),"Code inconnu"))</f>
        <v/>
      </c>
      <c r="D1000" s="23"/>
      <c r="E1000" s="24"/>
      <c r="F1000" s="21" t="str">
        <f aca="false">IF(OR($B1000="",$D1000=""),"",IFERROR(IF($D1000="Entrée",INDEX(Produits!$E$5:$E$204,MATCH($B1000,Produits!$A$5:$A$204,0)),INDEX(Produits!$F$5:$F$204,MATCH($B1000,Produits!$A$5:$A$204,0))),""))</f>
        <v/>
      </c>
      <c r="G1000" s="21" t="str">
        <f aca="false">IF(OR($F1000="",$E1000=""),"",$E1000*$F1000)</f>
        <v/>
      </c>
      <c r="H1000" s="21" t="str">
        <f aca="false">IF(AND($D1000="Sortie",$B1000&lt;&gt;"",$E1000&lt;&gt;""),IFERROR($E1000*INDEX(Produits!$E$5:$E$204,MATCH($B1000,Produits!$A$5:$A$204,0)),""),"")</f>
        <v/>
      </c>
      <c r="I1000" s="23"/>
    </row>
    <row r="1001" customFormat="false" ht="15" hidden="false" customHeight="false" outlineLevel="0" collapsed="false">
      <c r="A1001" s="27"/>
      <c r="B1001" s="23"/>
      <c r="C1001" s="26" t="str">
        <f aca="false">IF($B1001="","",IFERROR(INDEX(Produits!$B$5:$B$204,MATCH($B1001,Produits!$A$5:$A$204,0)),"Code inconnu"))</f>
        <v/>
      </c>
      <c r="D1001" s="23"/>
      <c r="E1001" s="24"/>
      <c r="F1001" s="21" t="str">
        <f aca="false">IF(OR($B1001="",$D1001=""),"",IFERROR(IF($D1001="Entrée",INDEX(Produits!$E$5:$E$204,MATCH($B1001,Produits!$A$5:$A$204,0)),INDEX(Produits!$F$5:$F$204,MATCH($B1001,Produits!$A$5:$A$204,0))),""))</f>
        <v/>
      </c>
      <c r="G1001" s="21" t="str">
        <f aca="false">IF(OR($F1001="",$E1001=""),"",$E1001*$F1001)</f>
        <v/>
      </c>
      <c r="H1001" s="21" t="str">
        <f aca="false">IF(AND($D1001="Sortie",$B1001&lt;&gt;"",$E1001&lt;&gt;""),IFERROR($E1001*INDEX(Produits!$E$5:$E$204,MATCH($B1001,Produits!$A$5:$A$204,0)),""),"")</f>
        <v/>
      </c>
      <c r="I1001" s="23"/>
    </row>
    <row r="1002" customFormat="false" ht="15" hidden="false" customHeight="false" outlineLevel="0" collapsed="false">
      <c r="A1002" s="27"/>
      <c r="B1002" s="23"/>
      <c r="C1002" s="26" t="str">
        <f aca="false">IF($B1002="","",IFERROR(INDEX(Produits!$B$5:$B$204,MATCH($B1002,Produits!$A$5:$A$204,0)),"Code inconnu"))</f>
        <v/>
      </c>
      <c r="D1002" s="23"/>
      <c r="E1002" s="24"/>
      <c r="F1002" s="21" t="str">
        <f aca="false">IF(OR($B1002="",$D1002=""),"",IFERROR(IF($D1002="Entrée",INDEX(Produits!$E$5:$E$204,MATCH($B1002,Produits!$A$5:$A$204,0)),INDEX(Produits!$F$5:$F$204,MATCH($B1002,Produits!$A$5:$A$204,0))),""))</f>
        <v/>
      </c>
      <c r="G1002" s="21" t="str">
        <f aca="false">IF(OR($F1002="",$E1002=""),"",$E1002*$F1002)</f>
        <v/>
      </c>
      <c r="H1002" s="21" t="str">
        <f aca="false">IF(AND($D1002="Sortie",$B1002&lt;&gt;"",$E1002&lt;&gt;""),IFERROR($E1002*INDEX(Produits!$E$5:$E$204,MATCH($B1002,Produits!$A$5:$A$204,0)),""),"")</f>
        <v/>
      </c>
      <c r="I1002" s="23"/>
    </row>
    <row r="1003" customFormat="false" ht="15" hidden="false" customHeight="false" outlineLevel="0" collapsed="false">
      <c r="A1003" s="27"/>
      <c r="B1003" s="23"/>
      <c r="C1003" s="26" t="str">
        <f aca="false">IF($B1003="","",IFERROR(INDEX(Produits!$B$5:$B$204,MATCH($B1003,Produits!$A$5:$A$204,0)),"Code inconnu"))</f>
        <v/>
      </c>
      <c r="D1003" s="23"/>
      <c r="E1003" s="24"/>
      <c r="F1003" s="21" t="str">
        <f aca="false">IF(OR($B1003="",$D1003=""),"",IFERROR(IF($D1003="Entrée",INDEX(Produits!$E$5:$E$204,MATCH($B1003,Produits!$A$5:$A$204,0)),INDEX(Produits!$F$5:$F$204,MATCH($B1003,Produits!$A$5:$A$204,0))),""))</f>
        <v/>
      </c>
      <c r="G1003" s="21" t="str">
        <f aca="false">IF(OR($F1003="",$E1003=""),"",$E1003*$F1003)</f>
        <v/>
      </c>
      <c r="H1003" s="21" t="str">
        <f aca="false">IF(AND($D1003="Sortie",$B1003&lt;&gt;"",$E1003&lt;&gt;""),IFERROR($E1003*INDEX(Produits!$E$5:$E$204,MATCH($B1003,Produits!$A$5:$A$204,0)),""),"")</f>
        <v/>
      </c>
      <c r="I1003" s="23"/>
    </row>
    <row r="1004" customFormat="false" ht="15" hidden="false" customHeight="false" outlineLevel="0" collapsed="false">
      <c r="A1004" s="27"/>
      <c r="B1004" s="23"/>
      <c r="C1004" s="26" t="str">
        <f aca="false">IF($B1004="","",IFERROR(INDEX(Produits!$B$5:$B$204,MATCH($B1004,Produits!$A$5:$A$204,0)),"Code inconnu"))</f>
        <v/>
      </c>
      <c r="D1004" s="23"/>
      <c r="E1004" s="24"/>
      <c r="F1004" s="21" t="str">
        <f aca="false">IF(OR($B1004="",$D1004=""),"",IFERROR(IF($D1004="Entrée",INDEX(Produits!$E$5:$E$204,MATCH($B1004,Produits!$A$5:$A$204,0)),INDEX(Produits!$F$5:$F$204,MATCH($B1004,Produits!$A$5:$A$204,0))),""))</f>
        <v/>
      </c>
      <c r="G1004" s="21" t="str">
        <f aca="false">IF(OR($F1004="",$E1004=""),"",$E1004*$F1004)</f>
        <v/>
      </c>
      <c r="H1004" s="21" t="str">
        <f aca="false">IF(AND($D1004="Sortie",$B1004&lt;&gt;"",$E1004&lt;&gt;""),IFERROR($E1004*INDEX(Produits!$E$5:$E$204,MATCH($B1004,Produits!$A$5:$A$204,0)),""),"")</f>
        <v/>
      </c>
      <c r="I1004" s="23"/>
    </row>
  </sheetData>
  <conditionalFormatting sqref="C5:C1004">
    <cfRule type="cellIs" priority="2" operator="equal" aboveAverage="0" equalAverage="0" bottom="0" percent="0" rank="0" text="" dxfId="5">
      <formula>"Code inconnu"</formula>
    </cfRule>
  </conditionalFormatting>
  <dataValidations count="4">
    <dataValidation allowBlank="true" error="Choisissez Entrée ou Sortie dans la liste." errorStyle="stop" errorTitle="Type" operator="between" showDropDown="false" showErrorMessage="true" showInputMessage="false" sqref="D5:D1004" type="list">
      <formula1>"Entrée,Sortie"</formula1>
      <formula2>0</formula2>
    </dataValidation>
    <dataValidation allowBlank="true" error="Ce code n'existe pas dans l'onglet Produits." errorStyle="stop" errorTitle="Code produit" operator="between" showDropDown="false" showErrorMessage="true" showInputMessage="false" sqref="B5:B1004" type="list">
      <formula1>Produits!$A$5:$A$204</formula1>
      <formula2>0</formula2>
    </dataValidation>
    <dataValidation allowBlank="true" error="Entrez une date (ex. 12/10/2026)." errorStyle="stop" errorTitle="Date" operator="greaterThan" showDropDown="false" showErrorMessage="true" showInputMessage="false" sqref="A5:A1004" type="date">
      <formula1>36526</formula1>
      <formula2>0</formula2>
    </dataValidation>
    <dataValidation allowBlank="true" error="La quantité doit être un nombre positif." errorStyle="stop" errorTitle="Quantité" operator="greaterThan" showDropDown="false" showErrorMessage="true" showInputMessage="false" sqref="E5:E1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2026-10-11T04:56:08Z</dcterms:created>
  <dc:creator>openpyxl</dc:creator>
  <dc:description/>
  <dc:language>en-US</dc:language>
  <cp:lastModifiedBy/>
  <dcterms:modified xsi:type="dcterms:W3CDTF">2026-10-11T04:56:09Z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